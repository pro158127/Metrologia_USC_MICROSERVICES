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sceduco7466.sharepoint.com/sites/COMERCIALMETROLOGIA/Documentos compartidos/2. Formatos/"/>
    </mc:Choice>
  </mc:AlternateContent>
  <xr:revisionPtr revIDLastSave="1017" documentId="8_{EDC73069-647E-4299-9A76-A842B8AF1108}" xr6:coauthVersionLast="47" xr6:coauthVersionMax="47" xr10:uidLastSave="{DBCDBB5C-CD06-4A70-88F9-C697E68F0D5E}"/>
  <bookViews>
    <workbookView xWindow="-120" yWindow="-120" windowWidth="24240" windowHeight="13140" xr2:uid="{00000000-000D-0000-FFFF-FFFF00000000}"/>
  </bookViews>
  <sheets>
    <sheet name="Cotización V009" sheetId="1" r:id="rId1"/>
    <sheet name="Tarifas" sheetId="2" r:id="rId2"/>
    <sheet name="Control de cambios" sheetId="3" r:id="rId3"/>
    <sheet name="Tarifas (2)" sheetId="4" state="hidden" r:id="rId4"/>
  </sheets>
  <definedNames>
    <definedName name="Acreditado_Obs1" localSheetId="3">'Tarifas (2)'!$C$7:$C$17</definedName>
    <definedName name="Acreditado_Obs1">Tarifas!$C$7:$C$25</definedName>
    <definedName name="_xlnm.Print_Area" localSheetId="0">'Cotización V009'!$A$1:$H$85</definedName>
    <definedName name="_xlnm.Print_Area" localSheetId="1">Tarifas!$A$1:$I$107</definedName>
    <definedName name="No_Acreditado" localSheetId="3">'Tarifas (2)'!$C$18:$C$105</definedName>
    <definedName name="No_Acreditado">Tarifas!$C$26:$C$107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E12" i="1"/>
  <c r="G12" i="1"/>
  <c r="H12" i="1" s="1"/>
  <c r="C13" i="1"/>
  <c r="E13" i="1"/>
  <c r="G13" i="1"/>
  <c r="H13" i="1" s="1"/>
  <c r="C14" i="1"/>
  <c r="E14" i="1"/>
  <c r="G14" i="1"/>
  <c r="H14" i="1" s="1"/>
  <c r="C15" i="1"/>
  <c r="E15" i="1"/>
  <c r="G15" i="1"/>
  <c r="H15" i="1" s="1"/>
  <c r="C16" i="1"/>
  <c r="E16" i="1"/>
  <c r="G16" i="1"/>
  <c r="H16" i="1" s="1"/>
  <c r="C17" i="1"/>
  <c r="E17" i="1"/>
  <c r="G17" i="1"/>
  <c r="H17" i="1" s="1"/>
  <c r="C18" i="1"/>
  <c r="E18" i="1"/>
  <c r="G18" i="1"/>
  <c r="H18" i="1" s="1"/>
  <c r="C19" i="1"/>
  <c r="E19" i="1"/>
  <c r="G19" i="1"/>
  <c r="H19" i="1" s="1"/>
  <c r="C20" i="1"/>
  <c r="E20" i="1"/>
  <c r="G20" i="1"/>
  <c r="H20" i="1" s="1"/>
  <c r="C21" i="1"/>
  <c r="E21" i="1"/>
  <c r="G21" i="1"/>
  <c r="H21" i="1" s="1"/>
  <c r="C22" i="1"/>
  <c r="E22" i="1"/>
  <c r="G22" i="1"/>
  <c r="H22" i="1" s="1"/>
  <c r="C23" i="1"/>
  <c r="E23" i="1"/>
  <c r="G23" i="1"/>
  <c r="H23" i="1" s="1"/>
  <c r="C24" i="1"/>
  <c r="E24" i="1"/>
  <c r="G24" i="1"/>
  <c r="H24" i="1" s="1"/>
  <c r="C25" i="1"/>
  <c r="E25" i="1"/>
  <c r="G25" i="1"/>
  <c r="H25" i="1" s="1"/>
  <c r="C26" i="1"/>
  <c r="E26" i="1"/>
  <c r="G26" i="1"/>
  <c r="H26" i="1" s="1"/>
  <c r="C27" i="1"/>
  <c r="E27" i="1"/>
  <c r="G27" i="1"/>
  <c r="H27" i="1" s="1"/>
  <c r="C28" i="1"/>
  <c r="E28" i="1"/>
  <c r="G28" i="1"/>
  <c r="H28" i="1" s="1"/>
  <c r="C29" i="1"/>
  <c r="E29" i="1"/>
  <c r="G29" i="1"/>
  <c r="H29" i="1" s="1"/>
  <c r="C30" i="1"/>
  <c r="E30" i="1"/>
  <c r="G30" i="1"/>
  <c r="H30" i="1" s="1"/>
  <c r="C31" i="1"/>
  <c r="E31" i="1"/>
  <c r="G31" i="1"/>
  <c r="H31" i="1" s="1"/>
  <c r="C32" i="1"/>
  <c r="E32" i="1"/>
  <c r="G32" i="1"/>
  <c r="H32" i="1" s="1"/>
  <c r="C33" i="1"/>
  <c r="E33" i="1"/>
  <c r="G33" i="1"/>
  <c r="H33" i="1" s="1"/>
  <c r="C34" i="1"/>
  <c r="E34" i="1"/>
  <c r="G34" i="1"/>
  <c r="H34" i="1" s="1"/>
  <c r="C35" i="1"/>
  <c r="E35" i="1"/>
  <c r="G35" i="1"/>
  <c r="H35" i="1" s="1"/>
  <c r="C36" i="1"/>
  <c r="E36" i="1"/>
  <c r="G36" i="1"/>
  <c r="H36" i="1" s="1"/>
  <c r="C37" i="1"/>
  <c r="E37" i="1"/>
  <c r="G37" i="1"/>
  <c r="H37" i="1" s="1"/>
  <c r="C38" i="1"/>
  <c r="E38" i="1"/>
  <c r="G38" i="1"/>
  <c r="H38" i="1" s="1"/>
  <c r="C39" i="1"/>
  <c r="E39" i="1"/>
  <c r="G39" i="1"/>
  <c r="H39" i="1" s="1"/>
  <c r="C40" i="1"/>
  <c r="E40" i="1"/>
  <c r="G40" i="1"/>
  <c r="H40" i="1" s="1"/>
  <c r="C41" i="1"/>
  <c r="E41" i="1"/>
  <c r="G41" i="1"/>
  <c r="H41" i="1" s="1"/>
  <c r="C42" i="1"/>
  <c r="E42" i="1"/>
  <c r="G42" i="1"/>
  <c r="H42" i="1" s="1"/>
  <c r="C43" i="1"/>
  <c r="E43" i="1"/>
  <c r="G43" i="1"/>
  <c r="H43" i="1" s="1"/>
  <c r="C44" i="1"/>
  <c r="E44" i="1"/>
  <c r="G44" i="1"/>
  <c r="H44" i="1" s="1"/>
  <c r="C45" i="1"/>
  <c r="E45" i="1"/>
  <c r="G45" i="1"/>
  <c r="H45" i="1" s="1"/>
  <c r="C46" i="1"/>
  <c r="E46" i="1"/>
  <c r="G46" i="1"/>
  <c r="H46" i="1" s="1"/>
  <c r="C47" i="1"/>
  <c r="E47" i="1"/>
  <c r="G47" i="1"/>
  <c r="H47" i="1" s="1"/>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7" i="2"/>
  <c r="H23" i="2" l="1"/>
  <c r="H24" i="2"/>
  <c r="H27" i="2" l="1"/>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26" i="2"/>
  <c r="H8" i="2"/>
  <c r="H13" i="2"/>
  <c r="H14" i="2"/>
  <c r="H20" i="2"/>
  <c r="H21" i="2"/>
  <c r="H22" i="2"/>
  <c r="H25" i="2"/>
  <c r="H7" i="2"/>
  <c r="H105" i="4" l="1"/>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F49" i="1" l="1"/>
  <c r="G49" i="1" l="1"/>
  <c r="H50" i="1" s="1"/>
  <c r="H5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METROLOGIA</author>
  </authors>
  <commentList>
    <comment ref="C54" authorId="0" shapeId="0" xr:uid="{00000000-0006-0000-0100-000001000000}">
      <text>
        <r>
          <rPr>
            <b/>
            <sz val="9"/>
            <color indexed="81"/>
            <rFont val="Tahoma"/>
            <family val="2"/>
          </rPr>
          <t>METROLOGIA:</t>
        </r>
        <r>
          <rPr>
            <sz val="9"/>
            <color indexed="81"/>
            <rFont val="Tahoma"/>
            <family val="2"/>
          </rPr>
          <t xml:space="preserve">
PATRON NO CALIBRADO</t>
        </r>
      </text>
    </comment>
    <comment ref="C67" authorId="0" shapeId="0" xr:uid="{00000000-0006-0000-0100-000002000000}">
      <text>
        <r>
          <rPr>
            <b/>
            <sz val="9"/>
            <color indexed="81"/>
            <rFont val="Tahoma"/>
            <family val="2"/>
          </rPr>
          <t>METROLOGIA:</t>
        </r>
        <r>
          <rPr>
            <sz val="9"/>
            <color indexed="81"/>
            <rFont val="Tahoma"/>
            <family val="2"/>
          </rPr>
          <t xml:space="preserve">
PATRON SIN CALIBRACION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METROLOGIA</author>
  </authors>
  <commentList>
    <comment ref="C51" authorId="0" shapeId="0" xr:uid="{C6ABDA65-338E-45E2-903C-C8AF49259BD0}">
      <text>
        <r>
          <rPr>
            <b/>
            <sz val="9"/>
            <color indexed="81"/>
            <rFont val="Tahoma"/>
            <family val="2"/>
          </rPr>
          <t>METROLOGIA:</t>
        </r>
        <r>
          <rPr>
            <sz val="9"/>
            <color indexed="81"/>
            <rFont val="Tahoma"/>
            <family val="2"/>
          </rPr>
          <t xml:space="preserve">
PATRON NO CALIBRADO</t>
        </r>
      </text>
    </comment>
    <comment ref="C64" authorId="0" shapeId="0" xr:uid="{5A223410-A4C2-4117-9A05-9235D346332B}">
      <text>
        <r>
          <rPr>
            <b/>
            <sz val="9"/>
            <color indexed="81"/>
            <rFont val="Tahoma"/>
            <family val="2"/>
          </rPr>
          <t>METROLOGIA:</t>
        </r>
        <r>
          <rPr>
            <sz val="9"/>
            <color indexed="81"/>
            <rFont val="Tahoma"/>
            <family val="2"/>
          </rPr>
          <t xml:space="preserve">
PATRON SIN CALIBRACION</t>
        </r>
      </text>
    </comment>
  </commentList>
</comments>
</file>

<file path=xl/sharedStrings.xml><?xml version="1.0" encoding="utf-8"?>
<sst xmlns="http://schemas.openxmlformats.org/spreadsheetml/2006/main" count="826" uniqueCount="398">
  <si>
    <t>UNIVERSIDAD SANTIAGO DE CALI
DIRECCIÓN GENERAL DE LABORATORIOS
LABORATORIO DE METROLOGÍA
Calle 5ª Carrera 62 Campus Pampalinda
Bloque 4 Piso 1 Laboratorio 4129
PBX: 5183000 Ext. 9093
E-mail: comercialmetrologia@usc.edu.co</t>
  </si>
  <si>
    <t xml:space="preserve">COTIZACIÓN DE SERVICIOS DE CALIBRACIÓN </t>
  </si>
  <si>
    <t>Tenemos el gusto de presentarle nuestra propuesta económica para la calibración de equipos</t>
  </si>
  <si>
    <t>No. Cotización:</t>
  </si>
  <si>
    <t xml:space="preserve">                Fecha:</t>
  </si>
  <si>
    <t xml:space="preserve">                    Empresa:</t>
  </si>
  <si>
    <t>Nit:</t>
  </si>
  <si>
    <t>Ciudad</t>
  </si>
  <si>
    <t>Teléfono:</t>
  </si>
  <si>
    <t xml:space="preserve">                    Contacto:</t>
  </si>
  <si>
    <t>Email:</t>
  </si>
  <si>
    <t>Equipo / Número de puntos</t>
  </si>
  <si>
    <t>Tipo de servicio</t>
  </si>
  <si>
    <t xml:space="preserve">Magnitud </t>
  </si>
  <si>
    <t xml:space="preserve">Norma / Guía Técnica </t>
  </si>
  <si>
    <t xml:space="preserve">Cantidad </t>
  </si>
  <si>
    <t>Valor Unitario</t>
  </si>
  <si>
    <t>Valor  Total</t>
  </si>
  <si>
    <t>Esfigmomanómetros mecánicos
no invasivos analógicos
0 kPa ≤ p ≤ 40 kPa
(0 mmHg ≤ p ≤ 300 mmHg)
(incluye 7 puntos de calibración)</t>
  </si>
  <si>
    <t>Total de Servicio</t>
  </si>
  <si>
    <t>Descuento (%)</t>
  </si>
  <si>
    <r>
      <t xml:space="preserve">Método de pago:  </t>
    </r>
    <r>
      <rPr>
        <b/>
        <sz val="10"/>
        <color rgb="FFFF0000"/>
        <rFont val="Cambria"/>
        <family val="1"/>
      </rPr>
      <t>60 Dias</t>
    </r>
  </si>
  <si>
    <t>Viáticos</t>
  </si>
  <si>
    <r>
      <t xml:space="preserve">Método de pago:  </t>
    </r>
    <r>
      <rPr>
        <b/>
        <sz val="10"/>
        <color rgb="FFFF0000"/>
        <rFont val="Cambria"/>
        <family val="1"/>
      </rPr>
      <t>30 Dias</t>
    </r>
  </si>
  <si>
    <t>TOTAL</t>
  </si>
  <si>
    <r>
      <t xml:space="preserve">Método de pago: </t>
    </r>
    <r>
      <rPr>
        <b/>
        <sz val="10"/>
        <color rgb="FFFF0000"/>
        <rFont val="Cambria"/>
        <family val="1"/>
      </rPr>
      <t xml:space="preserve"> Contado</t>
    </r>
  </si>
  <si>
    <t>Condiciones Comerciales y Técnicas</t>
  </si>
  <si>
    <t>Método de pago:  30 Dias</t>
  </si>
  <si>
    <r>
      <rPr>
        <b/>
        <sz val="10"/>
        <color rgb="FF000000"/>
        <rFont val="Cambria"/>
        <family val="1"/>
      </rPr>
      <t xml:space="preserve">Tener presente que:
1. </t>
    </r>
    <r>
      <rPr>
        <sz val="10"/>
        <color rgb="FF000000"/>
        <rFont val="Cambria"/>
        <family val="1"/>
      </rPr>
      <t>El tiempo de validez de la oferta es de treinta</t>
    </r>
    <r>
      <rPr>
        <sz val="10"/>
        <color rgb="FFFF0000"/>
        <rFont val="Cambria"/>
        <family val="1"/>
      </rPr>
      <t xml:space="preserve"> (30) días</t>
    </r>
    <r>
      <rPr>
        <sz val="10"/>
        <color rgb="FF000000"/>
        <rFont val="Cambria"/>
        <family val="1"/>
      </rPr>
      <t xml:space="preserve">.
</t>
    </r>
    <r>
      <rPr>
        <b/>
        <sz val="10"/>
        <color rgb="FF000000"/>
        <rFont val="Cambria"/>
        <family val="1"/>
      </rPr>
      <t xml:space="preserve">2. </t>
    </r>
    <r>
      <rPr>
        <sz val="10"/>
        <color rgb="FF000000"/>
        <rFont val="Cambria"/>
        <family val="1"/>
      </rPr>
      <t xml:space="preserve">El Laboratorio de Metrología de la Universidad Santiago de Cali </t>
    </r>
    <r>
      <rPr>
        <b/>
        <sz val="10"/>
        <color rgb="FFFF0000"/>
        <rFont val="Cambria"/>
        <family val="1"/>
      </rPr>
      <t>NO</t>
    </r>
    <r>
      <rPr>
        <sz val="10"/>
        <color rgb="FF000000"/>
        <rFont val="Cambria"/>
        <family val="1"/>
      </rPr>
      <t xml:space="preserve"> realiza cobro de </t>
    </r>
    <r>
      <rPr>
        <b/>
        <sz val="10"/>
        <color rgb="FFFF0000"/>
        <rFont val="Cambria"/>
        <family val="1"/>
      </rPr>
      <t xml:space="preserve">IVA.
</t>
    </r>
    <r>
      <rPr>
        <b/>
        <sz val="10"/>
        <color rgb="FF000000"/>
        <rFont val="Cambria"/>
        <family val="1"/>
      </rPr>
      <t xml:space="preserve">3. </t>
    </r>
    <r>
      <rPr>
        <sz val="10"/>
        <color rgb="FF000000"/>
        <rFont val="Cambria"/>
        <family val="1"/>
      </rPr>
      <t xml:space="preserve">Si la propuesta es aceptada,  por favor  enviar orden de Compra o aprobacion por escrito o cotización firmada por la persona a cargo del servicio (en caso de no manejar orden de compra),  RUT actualizado (sí es cliente nuevo) y formato orden de trabajo  R-CM005 diligenciado.                                                                                                                                                                                                                                                                                                                                                    
</t>
    </r>
    <r>
      <rPr>
        <b/>
        <sz val="10"/>
        <color rgb="FF000000"/>
        <rFont val="Cambria"/>
        <family val="1"/>
      </rPr>
      <t>4.</t>
    </r>
    <r>
      <rPr>
        <sz val="10"/>
        <color rgb="FF000000"/>
        <rFont val="Cambria"/>
        <family val="1"/>
      </rPr>
      <t xml:space="preserve"> La programación del servicio de calibración  en sitio y laboratorio permanente dependerá de la disponibilidad  del laboratorio, es decir que según la cantidad de servicios que se  tengan  agendados  y estén en línea de llegada para calibración, las fechasde las calibraciones están sujetas a cambios, por actividades que impidan el normal funcionamiento del laboratorio, inconvenientes presentados durante el servicio o acontecimientos externos (terremotos, atentados, robos entre otros).                                                                                                        
</t>
    </r>
    <r>
      <rPr>
        <b/>
        <sz val="10"/>
        <color rgb="FF000000"/>
        <rFont val="Cambria"/>
        <family val="1"/>
      </rPr>
      <t xml:space="preserve">5. </t>
    </r>
    <r>
      <rPr>
        <sz val="10"/>
        <color rgb="FF000000"/>
        <rFont val="Cambria"/>
        <family val="1"/>
      </rPr>
      <t xml:space="preserve">Los viáticos relacionan traslado de equipos patrones, personal técnico, alimentación y hospedaje. Estos están sujetos a cambios, por novedades presentadas en la prestación del mismo (como la disponibilidad de equipos, estado del equipo),  para calibraciones en sitio solo bajo el proceso de calibración se podrá determinar si el instrumento es apto , en caso contrario se le informará al cliente. 
</t>
    </r>
    <r>
      <rPr>
        <b/>
        <sz val="10"/>
        <color rgb="FF000000"/>
        <rFont val="Cambria"/>
        <family val="1"/>
      </rPr>
      <t xml:space="preserve">6. </t>
    </r>
    <r>
      <rPr>
        <sz val="10"/>
        <color rgb="FF000000"/>
        <rFont val="Cambria"/>
        <family val="1"/>
      </rPr>
      <t xml:space="preserve">El Punto Adicional en Temperatura y Humedad tiene un costo de </t>
    </r>
    <r>
      <rPr>
        <sz val="10"/>
        <color rgb="FFFF0000"/>
        <rFont val="Cambria"/>
        <family val="1"/>
      </rPr>
      <t xml:space="preserve">$ 55.000. </t>
    </r>
  </si>
  <si>
    <r>
      <rPr>
        <b/>
        <sz val="10"/>
        <color rgb="FF000000"/>
        <rFont val="Cambria"/>
        <family val="1"/>
      </rPr>
      <t xml:space="preserve">Nota A: </t>
    </r>
    <r>
      <rPr>
        <sz val="10"/>
        <color rgb="FF000000"/>
        <rFont val="Cambria"/>
        <family val="1"/>
      </rPr>
      <t xml:space="preserve">El formato  </t>
    </r>
    <r>
      <rPr>
        <sz val="10"/>
        <color rgb="FFFF0000"/>
        <rFont val="Cambria"/>
        <family val="1"/>
      </rPr>
      <t>orden de trabajo  R-CM005</t>
    </r>
    <r>
      <rPr>
        <b/>
        <sz val="10"/>
        <color rgb="FF000000"/>
        <rFont val="Cambria"/>
        <family val="1"/>
      </rPr>
      <t xml:space="preserve"> </t>
    </r>
    <r>
      <rPr>
        <sz val="10"/>
        <color rgb="FF000000"/>
        <rFont val="Cambria"/>
        <family val="1"/>
      </rPr>
      <t xml:space="preserve">debe ser diligenciado, para poder dar inicio al proceso de calibración.   </t>
    </r>
  </si>
  <si>
    <r>
      <t xml:space="preserve">Nota B: </t>
    </r>
    <r>
      <rPr>
        <sz val="10"/>
        <color theme="1"/>
        <rFont val="Cambria"/>
        <family val="1"/>
      </rPr>
      <t xml:space="preserve">Por favor tener en cuenta que el pago acordado dentro de la cotización debe ser cumplido, si usted no está de acuerdo antes de realizar el servicio deberá informar por escrito, de lo contrario cualquier retraso generará un interés por mora del 2,16% sobre el total de la factura. </t>
    </r>
  </si>
  <si>
    <r>
      <rPr>
        <b/>
        <sz val="10"/>
        <color rgb="FF000000"/>
        <rFont val="Cambria"/>
        <family val="1"/>
      </rPr>
      <t xml:space="preserve">Nota C: </t>
    </r>
    <r>
      <rPr>
        <sz val="10"/>
        <color rgb="FF000000"/>
        <rFont val="Cambria"/>
        <family val="1"/>
      </rPr>
      <t>El Laboratorio</t>
    </r>
    <r>
      <rPr>
        <b/>
        <sz val="10"/>
        <color rgb="FF000000"/>
        <rFont val="Cambria"/>
        <family val="1"/>
      </rPr>
      <t xml:space="preserve"> No</t>
    </r>
    <r>
      <rPr>
        <sz val="10"/>
        <color rgb="FF000000"/>
        <rFont val="Cambria"/>
        <family val="1"/>
      </rPr>
      <t xml:space="preserve"> realiza mantenimiento, ajuste y desmonte de equipos. </t>
    </r>
  </si>
  <si>
    <r>
      <rPr>
        <b/>
        <sz val="10"/>
        <color rgb="FF000000"/>
        <rFont val="Cambria"/>
        <family val="1"/>
      </rPr>
      <t>Nota E:</t>
    </r>
    <r>
      <rPr>
        <sz val="10"/>
        <color rgb="FF000000"/>
        <rFont val="Cambria"/>
        <family val="1"/>
      </rPr>
      <t xml:space="preserve"> El certificado o reporte de resultados será entregado en un plazo de Tres (3) días hábiles, después de realizadas las calibraciones y verificada la cancelación del servicio.</t>
    </r>
  </si>
  <si>
    <r>
      <rPr>
        <b/>
        <sz val="10"/>
        <color rgb="FF000000"/>
        <rFont val="Cambria"/>
        <family val="1"/>
      </rPr>
      <t>Nota G:</t>
    </r>
    <r>
      <rPr>
        <sz val="10"/>
        <color rgb="FF000000"/>
        <rFont val="Cambria"/>
        <family val="1"/>
      </rPr>
      <t xml:space="preserve"> Para instrumentos de pesaje de funcionamiento no automático, con un solo punto de apoyo o que su plataforma no permita la ubicación de las pesas, no se le realizara la prueba de excentricidad.</t>
    </r>
  </si>
  <si>
    <r>
      <rPr>
        <b/>
        <sz val="10"/>
        <color rgb="FF000000"/>
        <rFont val="Cambria"/>
        <family val="1"/>
      </rPr>
      <t>Nota H:</t>
    </r>
    <r>
      <rPr>
        <sz val="10"/>
        <color rgb="FF000000"/>
        <rFont val="Cambria"/>
        <family val="1"/>
      </rPr>
      <t xml:space="preserve"> Los certificados de calibración serán enviados al correo que se indique en el formato orden de trabajo R-CM005, con firma digital y en formato (PDF).  </t>
    </r>
  </si>
  <si>
    <r>
      <t xml:space="preserve">Nota I: </t>
    </r>
    <r>
      <rPr>
        <sz val="10"/>
        <color theme="1"/>
        <rFont val="Cambria"/>
        <family val="1"/>
      </rPr>
      <t>En caso de que no se especifique los puntos de calibración en las magnitudes de Masa y presión el laboratorio de Metrología de la Universidad Santiago de Cali podrá realizar la asignación de acuerdo a :</t>
    </r>
    <r>
      <rPr>
        <b/>
        <sz val="10"/>
        <color theme="1"/>
        <rFont val="Cambria"/>
        <family val="1"/>
      </rPr>
      <t xml:space="preserve">
1. Magnitud de Presión:</t>
    </r>
    <r>
      <rPr>
        <sz val="10"/>
        <color theme="1"/>
        <rFont val="Cambria"/>
        <family val="1"/>
      </rPr>
      <t xml:space="preserve"> Se  establece al menos 5 puntos de calibración para la magnitud de presión. Estos puntos estarán regularmente espaciados desde el 10% hasta el 100% del intervalo de medición del equipo. </t>
    </r>
    <r>
      <rPr>
        <b/>
        <sz val="10"/>
        <color theme="1"/>
        <rFont val="Cambria"/>
        <family val="1"/>
      </rPr>
      <t xml:space="preserve">
2. Magnitud de Masa: </t>
    </r>
    <r>
      <rPr>
        <sz val="10"/>
        <color theme="1"/>
        <rFont val="Cambria"/>
        <family val="1"/>
      </rPr>
      <t>(instrumentos de pesaje), se establecerán 10 puntos de calibración. Estos puntos abarcarán desde la carga mínima hasta la carga máxima especificada para los instrumentos sujetos a calibración.</t>
    </r>
  </si>
  <si>
    <t xml:space="preserve">Información para realizar pagos </t>
  </si>
  <si>
    <t>Declaración de conformidad</t>
  </si>
  <si>
    <r>
      <t>El Laboratorio de Metrología de</t>
    </r>
    <r>
      <rPr>
        <b/>
        <sz val="10"/>
        <color theme="1"/>
        <rFont val="Cambria"/>
        <family val="1"/>
      </rPr>
      <t xml:space="preserve"> la Universidad Santiago de Cali no emite declaraciones de conformidad como un  elemento para favorecer la imparcialidad en sus procesos</t>
    </r>
    <r>
      <rPr>
        <sz val="10"/>
        <color theme="1"/>
        <rFont val="Cambria"/>
        <family val="1"/>
      </rPr>
      <t xml:space="preserve">, sin embargo de ser requerido la declaración de conformidad en la calibración de los ítems, es necesario que </t>
    </r>
    <r>
      <rPr>
        <b/>
        <sz val="10"/>
        <color theme="1"/>
        <rFont val="Cambria"/>
        <family val="1"/>
      </rPr>
      <t xml:space="preserve">el cliente envíe el límite o error máximo permitido, la especificación o norma de donde se toman los límites y la regla de decisión requerida. </t>
    </r>
    <r>
      <rPr>
        <sz val="10"/>
        <color theme="1"/>
        <rFont val="Cambria"/>
        <family val="1"/>
      </rPr>
      <t xml:space="preserve">En el caso que la regla  de decisión  sea inherente al procedimiento de calibración ejecutado por el laboratorio de metrología de la Universidad Santiago de Cali, no es necesario que el cliente envié esta información. En los casos planteados anteriormente, el laboratorio de Metrología de la Universidad Santiago de Cali  no valora el nivel de riesgo y es el cliente  quien debe  valorar  el riesgo y asumir la responsabilidad  sobre la aceptación  o rechazo incorrecto de los resultados de medida. </t>
    </r>
    <r>
      <rPr>
        <b/>
        <sz val="10"/>
        <color theme="1"/>
        <rFont val="Cambria"/>
        <family val="1"/>
      </rPr>
      <t xml:space="preserve">De  otra forma si el cliente   NO suministra la regla de decisión ,  el Laboratorio de Metrología de la Universidad Santiago de Cali aplicará los lineamientos  de la GUIA  ILAC-G8:09/2019  Regla  de  decisión binaria con zona de seguridad fija, igual a la incertidumbre expandida, para  la  cual el  riesgo es del 5 %  cuando se tiene límites bilaterales y 2,5 % para  limites unilaterales.                                        </t>
    </r>
  </si>
  <si>
    <t>Política  de atención de las PQRS (peticiones, quejas, reclamos y sugerencias)</t>
  </si>
  <si>
    <t xml:space="preserve">La Universidad Santiago de Cali, está comprometida con la gestión frente a las solicitudes (peticiones, quejas, reclamos y/o sugerencias) de los usuarios, garantizando respuestas oportunas y efectivas, dando cumplimiento a los requisitos legales y a los principios de orientación para su tratamiento, los cuales permiten visibilidad, accesibilidad, respuesta diligente, tratamiento equitativo, objetivo e imparcial , acceso al proceso de tratamiento de las solicitudes sin costo para el reclamante, confidencialidad, enfoque al cliente, responsabilidad y mejora continua, transformando el sistema de gestión de las peticiones, quejas , reclamos  y sugerencias (PQRS), en una herramienta para el control de los servicios y procesos desarrollados por la institución.
</t>
  </si>
  <si>
    <t xml:space="preserve">Enlace para el ingreso al sistema de Peticiones, Quejas, Reclamos y Sugerencias (PQRS) </t>
  </si>
  <si>
    <t>https://pqrs.usc.edu.co/</t>
  </si>
  <si>
    <t xml:space="preserve">Calibración en laboratorio </t>
  </si>
  <si>
    <t>El cliente debe hacerse cargo de transportar los equipos   hasta las instalaciones  del Laboratorio de Metrología de la Universidad Santiago de Cali, con dirección Calle 5 No 62-00, Bloque 4 Piso 1  Sede Pampalinda.  En los horarios de atención de  Lunes a Viernes  de 8:00 am a 11:00 am y de 3:00 pm a 5:00 pm, sabados de 8 am a 12 am.</t>
  </si>
  <si>
    <t xml:space="preserve">Calibración en sitio </t>
  </si>
  <si>
    <t>Para calibraciones en sitio, se debe coordinar con antelación  el servicio, con el propósito  de tener acceso  a los equipos programados en las fechas y horarios acordados, verificar que los equipos cuenten con  mantenimiento preventivo y estar disponibles en las áreas de trabajo acordadas.
El área de trabajo debe contar con buenas condiciones de aseo y desinfección (para áreas clínicas), contar con superficies planas para la ejecución el trabajo (mesas, escritorios, etc.), buena iluminación y ventilación (de acuerdo al procedimiento de calibración, se solicitará condiciones ambientales controladas). Contar con tomas eléctricos preferiblemente con energía regulada, se debe restringir el acceso a otras personas mientras se realiza el servicio de calibración, es decir que solamente debe estar el personal encargado del equipo bajo prueba. El personal del laboratorio de Metrología de la Universidad Santiago de Cali, no desinstalará o instalará equipos de las bases de trabajo, al igual que no manipulará equipos a los cuales esté conectado algún paciente.</t>
  </si>
  <si>
    <t xml:space="preserve">Confidencialidad </t>
  </si>
  <si>
    <t>La información obtenida o creada durante la realización de actividades del Laboratorio de Metrología de la Universidad Santiago de Cali  es confidencial  entre el cliente y/o usuario final y el laboratorio.  Cuando los entes legales o de control requieran información obtenida o creada durante la realización de actividades del laboratorio, esta será entregada  y el cliente será notificado salvo cuando la ley lo prohíba. La información producto de servicio estará disponible en los procesos de evaluación por parte del ente acreditador y en procesos de auditorias internas, como un insumo para evaluar la conformidad. Siempre garantizando la confidencialidad de los resultados.</t>
  </si>
  <si>
    <t>Política de imparcialidad</t>
  </si>
  <si>
    <t>El Laboratorio de Metrología  de la Universidad Santiago de Cali declara que todas las actividades efectuadas en el proceso metrológico están desarrolladas bajo principios de Independencia, Imparcialidad y Confidencialidad, de modo que se asegura que las actividades de calibración de equipos  e instrumentos y la emisión de  certificados están basadas en los resultados obtenidos a partir de los equipos patrones, la aplicación  de los procedimientos  pertinentes, la ejecución de las actividades  por  el personal competente autorizado, el registro real  de los datos de condiciones ambientales, fecha de calibración y emisión de certificado, ítem bajo prueba , lugar de ejecución del servicio y  equipo patrón empleado. Por lo anterior la dirección técnica  y el personal están libres de cualquier presión o influencia indebida, interna o externa, comercial, financiera o de otro tipo que se constituya como conflicto de Interés, que pueda perjudicar la calidad y validez de los resultados.</t>
  </si>
  <si>
    <t>Departamento Comercial</t>
  </si>
  <si>
    <t>Cel. 3148901580</t>
  </si>
  <si>
    <t>Tel. 5183000 ext.  9092 9093</t>
  </si>
  <si>
    <t xml:space="preserve">TARIFAS </t>
  </si>
  <si>
    <t>EQUIPO</t>
  </si>
  <si>
    <t>MAGNITUD A CALIBRAR</t>
  </si>
  <si>
    <t>MÉTODO/ PROCEDIMIENTO</t>
  </si>
  <si>
    <t>#</t>
  </si>
  <si>
    <t>Precio unitario  2024</t>
  </si>
  <si>
    <t>Precios al por mayor 2024</t>
  </si>
  <si>
    <t>HUMEDAD</t>
  </si>
  <si>
    <t xml:space="preserve">Termohigrómetros /  Analógicos       
30 %hr ≤ hr ≤ 80 %hr                                           10 °C ≤ t ≤ 35 °C  
(Incluye 3 puntos de calibración una  variable)                                                    </t>
  </si>
  <si>
    <t>Temperatura  (Ambiente) - Humedad relativa</t>
  </si>
  <si>
    <t>P-CL034 Procedimiento
interno Calibración de
termohigrómetros analógicos
v004 de 2021-08-24</t>
  </si>
  <si>
    <t xml:space="preserve">Termohigrómetros / Digitales  
30 %hr ≤ hr ≤ 80 %hr                                           10 °C ≤ t ≤ 35 °C  
(Incluye 3 puntos de calibración por variable)                                                    </t>
  </si>
  <si>
    <t>Procedimiento TH-007 para calibración de medidores de condiciones ambientales de temperatura y humedad en aire, Centro Español de Metrología, Edición Digital 1.</t>
  </si>
  <si>
    <t>TEMPERATURA</t>
  </si>
  <si>
    <t>Termómetros digitales con  sensor termopar, RTD, termómetros digitales con sonda
o punzón  - 30 °C ≤ t ≤ 150 °C 
(Incluye 3 puntos de calibración)</t>
  </si>
  <si>
    <t xml:space="preserve">Temperatura </t>
  </si>
  <si>
    <t>Procedimiento TH-001 para la calibración de termómetros digitales (de lectura directa) por comparación, Centro Español de Metrología, edición digital 2, 2019.</t>
  </si>
  <si>
    <t>Termómetros de indicación analógica sonda o punzón - 30 °C ≤ t ≤ 70 °C
(3 puntos de calibración)</t>
  </si>
  <si>
    <t>Nordtest Method
Thermometer, contact direct
reading: Calibration NT VVS
103 Approved 1994-09.</t>
  </si>
  <si>
    <t>PRESION</t>
  </si>
  <si>
    <t xml:space="preserve">Manómetros analógicos y
digitales Clase de exactitud ≥
1% de escala completa
0 kPa ≤ p ≤ 0,345 MPa
(0 psi ≤ p ≤ 50 psi)
(incluye 5 puntos de calibración) </t>
  </si>
  <si>
    <t xml:space="preserve">Presión </t>
  </si>
  <si>
    <t>Procedimiento ME-003 para la calibración de manómetros, vacuómetros y manovacuómetros, Centro Español de Metrologia, Edición Digital 3, 2019.</t>
  </si>
  <si>
    <t xml:space="preserve">Infusores de liquidos (Manómetro) Clase de exactitud ≥
1% de escala completa
0 kPa ≤ p ≤ 0,345 MPa
(0 psi ≤ p ≤ 50 psi)
(incluye 5 puntos de calibración) </t>
  </si>
  <si>
    <t>Manómetros analógicos y
digitales Clase de exactitud ≥ 0,25% de escala completa
0,345 MPa &lt; p ≤ 2,07 MPa
(50 psi &lt; p ≤ 300 psi)
(incluye 5 puntos de calibración)</t>
  </si>
  <si>
    <t>OIML R148-2 Non-invasive non-automated sphygmomanometers, Edition 2020, Numerales 1 y 10.</t>
  </si>
  <si>
    <t>MASA</t>
  </si>
  <si>
    <t>Instrumentos de pesaje de
funcionamiento no automático
con d ≥ 0,01 mg
0 g &lt; m ≤ 220 g
(incluye 11 puntos de calibración)</t>
  </si>
  <si>
    <t xml:space="preserve">Masa </t>
  </si>
  <si>
    <t>Guía para la calibración de instrumentos para pesar de funcionamiento no automático, SIM MWG7/cg-01/v.00. 2009.</t>
  </si>
  <si>
    <t>Instrumentos de pesaje de
funcionamiento no automático
con d ≥ 10 mg 
220 g &lt; m ≤ 5 kg
(incluye 11 puntos de calibración)</t>
  </si>
  <si>
    <t>Masa</t>
  </si>
  <si>
    <t>Instrumentos de pesaje de
funcionamiento no automático
con d ≥ 0,1 g
5 kg &lt; m ≤ 300 kg
(incluye 11 puntos de calibración)</t>
  </si>
  <si>
    <t>Guía para la calibración de instrumentos para pesar de funcionamiento no automático, SIM MWG7/cg-01/v.00.2009</t>
  </si>
  <si>
    <t xml:space="preserve"> No Acreditado</t>
  </si>
  <si>
    <t>Agitadores de Mazzini</t>
  </si>
  <si>
    <t>Velocidad Angular (RPM)</t>
  </si>
  <si>
    <t>Procedimiento Interno</t>
  </si>
  <si>
    <t>Angiógrafo</t>
  </si>
  <si>
    <t>kV, tiempo, kV emitido</t>
  </si>
  <si>
    <t xml:space="preserve">$ 494.615 </t>
  </si>
  <si>
    <t xml:space="preserve">Mamógrafo </t>
  </si>
  <si>
    <t>$ 494.616</t>
  </si>
  <si>
    <t>Arco En C </t>
  </si>
  <si>
    <t xml:space="preserve">$ 430.100 </t>
  </si>
  <si>
    <t>Aspiradores De Vacío (Succionador)</t>
  </si>
  <si>
    <t>Presión Negativa.</t>
  </si>
  <si>
    <t>Pulsoxímetro O Monitor De Saturación De Oxigeno</t>
  </si>
  <si>
    <t>% SpO2 - Frecuencia Cardíaca.</t>
  </si>
  <si>
    <t xml:space="preserve">Banda de esfuerzo </t>
  </si>
  <si>
    <t>Frecuencia Cardíaca - NIBP-                     % SpO2</t>
  </si>
  <si>
    <t xml:space="preserve">Baño Serológico - Baño de Maria </t>
  </si>
  <si>
    <t>Temperatura (4 puntos)</t>
  </si>
  <si>
    <t>Blender</t>
  </si>
  <si>
    <r>
      <t>Concentración de O</t>
    </r>
    <r>
      <rPr>
        <vertAlign val="subscript"/>
        <sz val="11"/>
        <color rgb="FF000000"/>
        <rFont val="Arial"/>
        <family val="2"/>
      </rPr>
      <t>2</t>
    </r>
  </si>
  <si>
    <t>Bomba de infusión</t>
  </si>
  <si>
    <t>Volumen - Flujo</t>
  </si>
  <si>
    <t>Calentador de Liquidos</t>
  </si>
  <si>
    <t xml:space="preserve">$ 106.950 </t>
  </si>
  <si>
    <t xml:space="preserve">Calefactor de manta térmica </t>
  </si>
  <si>
    <t>$ 106.951</t>
  </si>
  <si>
    <t>Criostato</t>
  </si>
  <si>
    <t>Temperatura</t>
  </si>
  <si>
    <t>Capnógrafo</t>
  </si>
  <si>
    <r>
      <t>CO</t>
    </r>
    <r>
      <rPr>
        <vertAlign val="subscript"/>
        <sz val="11"/>
        <color rgb="FF000000"/>
        <rFont val="Arial"/>
        <family val="2"/>
      </rPr>
      <t xml:space="preserve">2 </t>
    </r>
    <r>
      <rPr>
        <sz val="11"/>
        <color rgb="FF000000"/>
        <rFont val="Arial"/>
        <family val="2"/>
      </rPr>
      <t>- %SpO</t>
    </r>
    <r>
      <rPr>
        <vertAlign val="subscript"/>
        <sz val="11"/>
        <color rgb="FF000000"/>
        <rFont val="Arial"/>
        <family val="2"/>
      </rPr>
      <t>2</t>
    </r>
  </si>
  <si>
    <t>Amalgamador</t>
  </si>
  <si>
    <t xml:space="preserve">Revoluciones por minuto( RPM) </t>
  </si>
  <si>
    <t xml:space="preserve">Centrífuga - Microcentrifuga </t>
  </si>
  <si>
    <t>Compresor Vascular -  Presoterapia</t>
  </si>
  <si>
    <t>Presión.</t>
  </si>
  <si>
    <t>Concentradores de oxígeno</t>
  </si>
  <si>
    <r>
      <t>%  de O</t>
    </r>
    <r>
      <rPr>
        <vertAlign val="subscript"/>
        <sz val="11"/>
        <color rgb="FF000000"/>
        <rFont val="Arial"/>
        <family val="2"/>
      </rPr>
      <t>2</t>
    </r>
  </si>
  <si>
    <t>Densitómetros</t>
  </si>
  <si>
    <t>Descongelador de Plasma</t>
  </si>
  <si>
    <t>Desfibrilador Automático  DEA</t>
  </si>
  <si>
    <t>Energía, Voltajes, Corrientes, Tiempos, TILT, T50-T10</t>
  </si>
  <si>
    <t>Desfibrilador Automático  DEA pulsado</t>
  </si>
  <si>
    <t>Desfibrilador Bifásico</t>
  </si>
  <si>
    <t>Frecuencia Cardiaca, Energía, Voltajes, Corrientes, Tiempos de sincronia, TILT, T50-T10</t>
  </si>
  <si>
    <t>Desfibrilador con monitor de Signos vitales</t>
  </si>
  <si>
    <t>Frecuencia Cardiaca, SpO2,NIBP, Energía, Voltajes, Corrientes, Tiempos de sincronia, TILT, T50-T10</t>
  </si>
  <si>
    <t>Doppler Fetal</t>
  </si>
  <si>
    <t>Frecuencia cardíaca fetal</t>
  </si>
  <si>
    <t xml:space="preserve">Ecógrafo </t>
  </si>
  <si>
    <t xml:space="preserve">Longitud  Vertical - Horizontal y área </t>
  </si>
  <si>
    <t xml:space="preserve">Electrobisturí </t>
  </si>
  <si>
    <t>Voltaje, Factor de Cresta, Ancho de Banda, Fugas de Af.</t>
  </si>
  <si>
    <t>Electromiógrafo</t>
  </si>
  <si>
    <t>Frecuencia, Voltaje e Impedancia</t>
  </si>
  <si>
    <t>Electrocardiógrafo</t>
  </si>
  <si>
    <t xml:space="preserve">Frecuencia y  Amplitud </t>
  </si>
  <si>
    <t>Electrocauterio</t>
  </si>
  <si>
    <t>Voltaje, Factor de Cresta, Ancho de Banda, Fugas de Af</t>
  </si>
  <si>
    <t>$ 172.500</t>
  </si>
  <si>
    <t>Equipo de presión negativa para tratamiento de heridas</t>
  </si>
  <si>
    <t>Presión</t>
  </si>
  <si>
    <t xml:space="preserve">Equipo de alto flujo </t>
  </si>
  <si>
    <t xml:space="preserve">Flujo </t>
  </si>
  <si>
    <t>Equipos Para Detartraje (Cavitración, neumática, magnetostrictiva y/o piezoeléctrica, escaler)</t>
  </si>
  <si>
    <t>Amplitud y Frecuencia</t>
  </si>
  <si>
    <t xml:space="preserve">Hydrocolector </t>
  </si>
  <si>
    <t>Equipos para terapia fisica TENS - EMS - 2 Canales</t>
  </si>
  <si>
    <t>Frecuencia y amplitud</t>
  </si>
  <si>
    <t xml:space="preserve">Equipos para terapia fisica TENS - EMS (Neuroestimulador) - 1 Canal </t>
  </si>
  <si>
    <t>Equipos de test de Holter por grabadora ECG</t>
  </si>
  <si>
    <t>Equipos de test de presurometría ambulatoria grabadora</t>
  </si>
  <si>
    <t xml:space="preserve">Presión  NIBP y Frecuencia </t>
  </si>
  <si>
    <t xml:space="preserve">Esterilzador a vapor, Óxido de Etileno, </t>
  </si>
  <si>
    <t xml:space="preserve">
Servicio de validación a
(esterilizador oxido de etileno, IQ,
OQ, PQ, 4 ciclos preferiblemente 1 sin
carga y 3 con carga, 5 sensores de
temp, 1 sensor de presión,)</t>
  </si>
  <si>
    <t xml:space="preserve">Validación </t>
  </si>
  <si>
    <t>Estimulador Nervioso/ muscular</t>
  </si>
  <si>
    <t xml:space="preserve">Flujometros (Regulador de oxígeno) </t>
  </si>
  <si>
    <t>Flujo</t>
  </si>
  <si>
    <t>Flujometro Doble</t>
  </si>
  <si>
    <t xml:space="preserve">Fluoroscopio </t>
  </si>
  <si>
    <t>Humidificador Vía Aérea</t>
  </si>
  <si>
    <t>Temperatura en vía  ( 2 Puntos)</t>
  </si>
  <si>
    <t>Incubadora  Biológica</t>
  </si>
  <si>
    <t xml:space="preserve">Incubadora Neonatal / Incubadora De Transporte </t>
  </si>
  <si>
    <t xml:space="preserve">Temperatura (Uniformidad, estabilidad en el tiempo, Ruido, Humedad  Relativa, Flujo. </t>
  </si>
  <si>
    <t xml:space="preserve">Nebulizador </t>
  </si>
  <si>
    <t>Presión- Flujo</t>
  </si>
  <si>
    <r>
      <t>Insuflador De CO</t>
    </r>
    <r>
      <rPr>
        <vertAlign val="subscript"/>
        <sz val="11"/>
        <color rgb="FF000000"/>
        <rFont val="Arial"/>
        <family val="2"/>
      </rPr>
      <t>2</t>
    </r>
  </si>
  <si>
    <t>Inyector de medio de contraste</t>
  </si>
  <si>
    <t>Espirómetro</t>
  </si>
  <si>
    <t>Volumen -  Flujo</t>
  </si>
  <si>
    <t>Cuna De Calor Radiante</t>
  </si>
  <si>
    <t>Lámparas De Fotocurado</t>
  </si>
  <si>
    <t>mW/cm2</t>
  </si>
  <si>
    <t>Lámpara De Fototerapia</t>
  </si>
  <si>
    <t>μw/Cm2</t>
  </si>
  <si>
    <t>Lipoescultores</t>
  </si>
  <si>
    <t>Presión De Vacío</t>
  </si>
  <si>
    <t>Máquina De Anestesia (Sin Vaporizadores) (Incluido Ventilador)</t>
  </si>
  <si>
    <t xml:space="preserve">Volumen - Tiempo - Frecuencia - Presión – Flujo. </t>
  </si>
  <si>
    <t>Marcapasos Externos</t>
  </si>
  <si>
    <t>Frecuencia, Sensibilidad ,Ancho De Pulso.</t>
  </si>
  <si>
    <t>Monitor multiparamétrico (10  Variables)</t>
  </si>
  <si>
    <r>
      <t>Frecuencia Cardíaca - %SpO2 - NIBP - Temperatura, Frecuencia Respiratoria-Gasto Cardíaco- Presión Invasiva (IBP) ,CO</t>
    </r>
    <r>
      <rPr>
        <vertAlign val="subscript"/>
        <sz val="11"/>
        <color rgb="FF000000"/>
        <rFont val="Arial"/>
        <family val="2"/>
      </rPr>
      <t xml:space="preserve">2, </t>
    </r>
    <r>
      <rPr>
        <sz val="11"/>
        <color rgb="FF000000"/>
        <rFont val="Arial"/>
        <family val="2"/>
      </rPr>
      <t>(8 a 10 Variables)</t>
    </r>
  </si>
  <si>
    <t>Monitor de Signos Vitales (De 3 a 5 Variables)</t>
  </si>
  <si>
    <t>Frecuencia , %SpO2, NIBP, Temperatura o Frecuencia respiratoria (3 a 5 Variables)</t>
  </si>
  <si>
    <t>Monitor de Signos Vitales ( De 5 a 7 Variables)</t>
  </si>
  <si>
    <t>Frecuencia Cardíaca - %SpO2 - NIBP - Temperatura, Frecuencia Respiratoria, Presión Invasiva (IBP)  ( 5 a 7  Variables)</t>
  </si>
  <si>
    <t>Pulsiometro - Monitor de Oxígeno (Oximetro)</t>
  </si>
  <si>
    <t xml:space="preserve"> %SpO2 </t>
  </si>
  <si>
    <t>Monitor Fetal</t>
  </si>
  <si>
    <t>Fetocardia y Nivel de
Contracción Uterina</t>
  </si>
  <si>
    <t xml:space="preserve">Nevera Farmacéutica </t>
  </si>
  <si>
    <t>Servicio de validación a (nevera
farmacéutica 1 puerta, muestreo  por 24
horas, IQ, OQ PQ, 5 sensores temp, test
de puerta abierta, test de
desconexión, test de recuperación,)</t>
  </si>
  <si>
    <t xml:space="preserve">Neumoinsuflador </t>
  </si>
  <si>
    <t>Flujo y  Presión</t>
  </si>
  <si>
    <t xml:space="preserve">Neumotaponador </t>
  </si>
  <si>
    <t xml:space="preserve">Planchas de calentamiento </t>
  </si>
  <si>
    <t>Velocidad Angular RPM y Temperatura</t>
  </si>
  <si>
    <t>Panorámicos</t>
  </si>
  <si>
    <t>Equipo de Rayos X  - Arco en C - Fluroscopio.</t>
  </si>
  <si>
    <t>Peri Apicales</t>
  </si>
  <si>
    <t>Prueba de Seguridad Eléctrica</t>
  </si>
  <si>
    <t>Voltajes, Corrientes, Resistencia.</t>
  </si>
  <si>
    <t>Desfibrilador monofásico</t>
  </si>
  <si>
    <t>Frecuencia Cardíaca, Energía, Voltajes, Corrientes, Tiempos de sincronía, TILT, T50-T10</t>
  </si>
  <si>
    <t>Consola  de Contrapulsación</t>
  </si>
  <si>
    <t>Presión invasiva estática , Frecuencia Cardíaca</t>
  </si>
  <si>
    <t>Regulador de Presión</t>
  </si>
  <si>
    <t>Shaver para artroscopia</t>
  </si>
  <si>
    <t>Velocidad Angular RPM y Flujo</t>
  </si>
  <si>
    <t>Surgybone</t>
  </si>
  <si>
    <t>Seguridad eléctrica</t>
  </si>
  <si>
    <t>Tensiómetro Automático</t>
  </si>
  <si>
    <t>Presión y Frecuencia Cardíaca.</t>
  </si>
  <si>
    <t>Tonómetro</t>
  </si>
  <si>
    <t>Peso Vs. Presión</t>
  </si>
  <si>
    <t>Ultrasonido  de fisioterapia (Unidad de electroterapia)</t>
  </si>
  <si>
    <t>Potencia W</t>
  </si>
  <si>
    <t xml:space="preserve">Vacuómetros - Regulador de Vacío </t>
  </si>
  <si>
    <t xml:space="preserve">Esterilizador de vapor </t>
  </si>
  <si>
    <t>1 Temperatura, IQ, OQ, PQ, 1 Ciclo Vacío, 3 Ciclos con Carga, 5 Sensores Temperatura y 1 Presión</t>
  </si>
  <si>
    <t>Torniquete</t>
  </si>
  <si>
    <t xml:space="preserve">Calentador de fluidos </t>
  </si>
  <si>
    <t>Dinamómetro</t>
  </si>
  <si>
    <t>Ventiladores Mecánicos</t>
  </si>
  <si>
    <t>Volumen, Frecuencia, Presión, Flujo y Tiempo</t>
  </si>
  <si>
    <t>Tanque de Parafina</t>
  </si>
  <si>
    <t>Termómetro Timpánico</t>
  </si>
  <si>
    <t>Temperatura (3 puntos)</t>
  </si>
  <si>
    <t>Termómetro IR</t>
  </si>
  <si>
    <t>Vortex</t>
  </si>
  <si>
    <t xml:space="preserve">Revoluciones por minuto y segundos RPM </t>
  </si>
  <si>
    <t>Ventiladores Mecánicos de alta Frecuencia</t>
  </si>
  <si>
    <t xml:space="preserve">Volumen -Frecuencia Respiratoria -Presiónes- Flujo-Tiempo y FiO2 </t>
  </si>
  <si>
    <t xml:space="preserve">R-CM003 / Versión 9 
2024/09/17 </t>
  </si>
  <si>
    <t>UNIVERSIDAD SANTIAGO DE CALI
LABORATORIO DE METROLOGÍA</t>
  </si>
  <si>
    <t>Nombre</t>
  </si>
  <si>
    <t>:</t>
  </si>
  <si>
    <t>Código</t>
  </si>
  <si>
    <t>N° Versión</t>
  </si>
  <si>
    <t>Fecha de cambio</t>
  </si>
  <si>
    <t>Descripción</t>
  </si>
  <si>
    <t>¿Se realiza validación de la hoja de cálculo?</t>
  </si>
  <si>
    <t>Observaciones</t>
  </si>
  <si>
    <t>Aprobó</t>
  </si>
  <si>
    <t>Luis Miguel Burgos</t>
  </si>
  <si>
    <t>No</t>
  </si>
  <si>
    <t xml:space="preserve">Hoja para control de cambios </t>
  </si>
  <si>
    <t xml:space="preserve">Formato de cotización </t>
  </si>
  <si>
    <t>R-CM003</t>
  </si>
  <si>
    <t>09</t>
  </si>
  <si>
    <t>Se realiza modificación estableciendo la condición de acreditado según numeral 4.3.1 del RAC-3.0-03 versión 9.
Se incluye cuadro para el control de cambios dentro del formato.</t>
  </si>
  <si>
    <t>N.A</t>
  </si>
  <si>
    <r>
      <t>Los pagos de factura se pueden realizar en las ventanillas de la universidad, pagos PSE y por medio de la página de universidad:</t>
    </r>
    <r>
      <rPr>
        <b/>
        <sz val="10"/>
        <color rgb="FF000000"/>
        <rFont val="Cambria"/>
        <family val="1"/>
      </rPr>
      <t xml:space="preserve"> https://apps.usc.edu.co/ </t>
    </r>
    <r>
      <rPr>
        <sz val="10"/>
        <color rgb="FF000000"/>
        <rFont val="Cambria"/>
        <family val="1"/>
      </rPr>
      <t xml:space="preserve">se ve reflejado el pago automaticamente.  También se puede realizar el pago por transferencia bancaria a la cuenta autorizada corriente No. 484210802 del Banco de Bogotá, se debe enviar el soporte de consignación al correo </t>
    </r>
    <r>
      <rPr>
        <b/>
        <sz val="10"/>
        <color rgb="FF000000"/>
        <rFont val="Cambria"/>
        <family val="1"/>
      </rPr>
      <t>comercialmetrologia@usc.edu.co</t>
    </r>
    <r>
      <rPr>
        <sz val="10"/>
        <color rgb="FF000000"/>
        <rFont val="Cambria"/>
        <family val="1"/>
      </rPr>
      <t xml:space="preserve"> con relación de la factura que se desea saldar, al  realizar el pago por transferencia el proceso de comprobación del mismo puede tardar hasta 3 dias habiles despues de recepcionado el comprobante. es importante recordar la importancia de cumplir con las obligaciones de pago dentro de los plazos establecidos para garantizar un correcto funcionamiento</t>
    </r>
  </si>
  <si>
    <r>
      <rPr>
        <b/>
        <sz val="11"/>
        <color theme="1"/>
        <rFont val="Arial"/>
        <family val="2"/>
      </rPr>
      <t xml:space="preserve">UNIVERSIDAD SANTIAGO DE CALI
DIRECCIÓN GENERAL DE LABORATORIOS
</t>
    </r>
    <r>
      <rPr>
        <sz val="11"/>
        <color theme="1"/>
        <rFont val="Arial"/>
        <family val="2"/>
      </rPr>
      <t xml:space="preserve">Calle 5 Carrera 62 Campus Pampalinda
</t>
    </r>
    <r>
      <rPr>
        <b/>
        <sz val="11"/>
        <color theme="1"/>
        <rFont val="Arial"/>
        <family val="2"/>
      </rPr>
      <t xml:space="preserve">LABORATORIO DE METROLOGÍA </t>
    </r>
    <r>
      <rPr>
        <sz val="11"/>
        <color theme="1"/>
        <rFont val="Arial"/>
        <family val="2"/>
      </rPr>
      <t xml:space="preserve">
Bloque 4 Piso 1 Laboratorio 4129. PBX: 5183000 Ext. 9093- 9092                                                                                                                                                                                                                                                 Celular: 314 8901580
E-mail: labmetrologia@usc.edu.co / comercialmetrologia@usc.edu.co</t>
    </r>
  </si>
  <si>
    <t xml:space="preserve">Termohigrómetros /  Analógicos       
20 %hr ≤ hr ≤ 80 %hr                                           10 °C ≤ t ≤ 40 °C  
(Incluye 3 puntos de calibración una  variable)                                                    </t>
  </si>
  <si>
    <t>PRECIO UNITARIO 2025</t>
  </si>
  <si>
    <t>PRECIO AL POR MAYOR 2025 (15%)</t>
  </si>
  <si>
    <t xml:space="preserve">Termohigrómetros / Digitales  
20 %hr ≤ hr ≤ 80 %hr                                           10 °C ≤ t ≤ 40 °C  
(Incluye 3 puntos de calibración por variable)                                                    </t>
  </si>
  <si>
    <t>Termómetros de indicación analógica sonda o punzón - 30 °C ≤ t ≤ 150 °C
(3 puntos de calibración)</t>
  </si>
  <si>
    <t>Manómetros analógicos y
digitales Clase de exactitud ≥
0,5 % de escala completa.                                (-10 psi ≤ p ≤ 0 psi)</t>
  </si>
  <si>
    <t>Manómetros analógicos y
digitales Clase de exactitud ≥
0,05 % de escala completa. 
(0 psi &lt; p ≤ 50 psi)</t>
  </si>
  <si>
    <t>Manómetros analógicos y
digitales Clase de exactitud ≥
0,05 % de escala completa. 
(50 psi &lt; p ≤ 300 psi)</t>
  </si>
  <si>
    <t>Manómetros analógicos y
digitales Clase de exactitud ≥
0,05 % de escala completa. 
(300 psi &lt; p ≤ 1000 psi)</t>
  </si>
  <si>
    <t>Procedimiento TH-007 para calibración de medidores de condiciones ambientales de temperatura y humedad en aire, Centro Español de Metrología, edición digital 1. 2021</t>
  </si>
  <si>
    <t>Procedimiento TH-001 para la calibración de termómetros digitales (de lectura directa) por comparación, Centro Español de Metrología, edición digital 2.2021</t>
  </si>
  <si>
    <t>Instrumentos de pesaje de
funcionamiento no automático
con d ≥ 10 g
34 kg &lt; m ≤ 150 kg
(incluye 11 puntos de calibración)</t>
  </si>
  <si>
    <t xml:space="preserve">Por definir </t>
  </si>
  <si>
    <t>Instrumentos de pesaje de
funcionamiento no automático
con d ≥ 10 mg 
220 g &lt; m ≤ 5000 g
(incluye 11 puntos de calibración)</t>
  </si>
  <si>
    <t>Instrumentos de pesaje de
funcionamiento no automático
con d ≥ 0,1 g
5000 g &lt; m ≤ 34 kg
(incluye 11 puntos de calibración)</t>
  </si>
  <si>
    <t>Instrumentos de pesaje de
funcionamiento no automático
con d ≥ 50 g
150 kg &lt; m ≤ 500 kg
(incluye 11 puntos de calibración)</t>
  </si>
  <si>
    <t>Instrumentos de pesaje de
funcionamiento no automático
con d ≥ 0,1 kg
500 kg &lt; m ≤ 1000 kg
(incluye 11 puntos de calibración)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</si>
  <si>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</si>
  <si>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</si>
  <si>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</si>
  <si>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</si>
  <si>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</si>
  <si>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</si>
  <si>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</si>
  <si>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</si>
  <si>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</si>
  <si>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</si>
  <si>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</si>
  <si>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</si>
  <si>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</si>
  <si>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</si>
  <si>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</si>
  <si>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</si>
  <si>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</si>
  <si>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</si>
  <si>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</si>
  <si>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</si>
  <si>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</si>
  <si>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</si>
  <si>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</si>
  <si>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</si>
  <si>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</si>
  <si>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</si>
  <si>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</si>
  <si>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</si>
  <si>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</si>
  <si>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</si>
  <si>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</si>
  <si>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</si>
  <si>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</si>
  <si>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</si>
  <si>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</si>
  <si>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</si>
  <si>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</si>
  <si>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</si>
  <si>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</si>
  <si>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</si>
  <si>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</si>
  <si>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</si>
  <si>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</si>
  <si>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</si>
  <si>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</si>
  <si>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</si>
  <si>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</si>
  <si>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</si>
  <si>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</si>
  <si>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</si>
  <si>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</si>
  <si>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</si>
  <si>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</si>
  <si>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</si>
  <si>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</si>
  <si>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</si>
  <si>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</si>
  <si>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</si>
  <si>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</si>
  <si>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</si>
  <si>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</si>
  <si>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</si>
  <si>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</si>
  <si>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</si>
  <si>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</si>
  <si>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</si>
  <si>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</si>
  <si>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</si>
  <si>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</si>
  <si>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</si>
  <si>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</si>
  <si>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</si>
  <si>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</si>
  <si>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</si>
  <si>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</si>
  <si>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</si>
  <si>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</si>
  <si>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</si>
  <si>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</si>
  <si>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</si>
  <si>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</si>
  <si>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</si>
  <si>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</si>
  <si>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</si>
  <si>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</si>
  <si>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</si>
  <si>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</si>
  <si>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</si>
  <si>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</si>
  <si>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</si>
  <si>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</si>
  <si>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</si>
  <si>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</si>
  <si>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</si>
  <si>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</si>
  <si>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</si>
  <si>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</si>
  <si>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r>
      <t xml:space="preserve">  Acreditado_Obs1: </t>
    </r>
    <r>
      <rPr>
        <sz val="11"/>
        <color rgb="FF000000"/>
        <rFont val="Cambria"/>
        <family val="1"/>
      </rPr>
      <t>El laboratorio de Metrología de la universidad Santiago de Cali cuenta con acreditación ONAC vigente a la fecha, con código de acreditación 20-LAC-021, bajo la norma ISO/IEC17025:2017 en las magnitudes de Presion, Masa (Instrumentos de pesaje), Temperatura en inmersión, temperatura y Humedad en condiciones ambietales.</t>
    </r>
  </si>
  <si>
    <r>
      <t>Nota D:</t>
    </r>
    <r>
      <rPr>
        <sz val="10"/>
        <color rgb="FF000000"/>
        <rFont val="Cambria"/>
        <family val="1"/>
      </rPr>
      <t xml:space="preserve"> El plazo de entrega para el instrumento es de cinco (5) días hábiles, contados a partir de la recepción del equipo y  del formato orden de trabajo R-CM005 debidamente diligenciado.  Este tiempo  puede variar teniendo en cuenta la cantidad de servicios que se tengan  agendados  previamente, la hora de llegada de los instrumentos a nuestras instalaciones  y que los  equipos deben contar con las óptimas condiciones de funcionamiento, deben incluir los accesorios (cables, sensores, transductores, baterías, software, entre otros)
Para los equipos de  </t>
    </r>
    <r>
      <rPr>
        <sz val="10"/>
        <rFont val="Cambria"/>
        <family val="1"/>
      </rPr>
      <t>tempertaratur</t>
    </r>
    <r>
      <rPr>
        <sz val="10"/>
        <color rgb="FF000000"/>
        <rFont val="Cambria"/>
        <family val="1"/>
      </rPr>
      <t>a ambiental y humedad el tiempo para la entrega sera  de (8) dias habiles.</t>
    </r>
  </si>
  <si>
    <t>PRECIO UNITARIO 2026</t>
  </si>
  <si>
    <t>98</t>
  </si>
  <si>
    <t>99</t>
  </si>
  <si>
    <r>
      <t xml:space="preserve">Punto adicional                                                      </t>
    </r>
    <r>
      <rPr>
        <sz val="10"/>
        <color rgb="FF000000"/>
        <rFont val="Arial"/>
        <family val="2"/>
      </rPr>
      <t xml:space="preserve">Termómetros digitales con  sensor termopar, RTD, termómetros digitales con sonda
o punzón  - 30 °C ≤ t ≤ 150 °C </t>
    </r>
  </si>
  <si>
    <r>
      <t xml:space="preserve">Punto adicional                                                             </t>
    </r>
    <r>
      <rPr>
        <sz val="10"/>
        <color rgb="FF000000"/>
        <rFont val="Arial"/>
        <family val="2"/>
      </rPr>
      <t>Termómetros de indicación analógica sonda o punzón - 30 °C ≤ t ≤ 150 °C</t>
    </r>
  </si>
  <si>
    <t>100</t>
  </si>
  <si>
    <t>101</t>
  </si>
  <si>
    <r>
      <t xml:space="preserve">Punto adicional                                                         </t>
    </r>
    <r>
      <rPr>
        <sz val="10"/>
        <color rgb="FF000000"/>
        <rFont val="Arial"/>
        <family val="2"/>
      </rPr>
      <t xml:space="preserve">Termohigrómetros /  Analógicos       
20 %hr ≤ hr ≤ 80 %hr                                      10 °C ≤ t ≤ 40 °C  
 </t>
    </r>
    <r>
      <rPr>
        <b/>
        <i/>
        <sz val="10"/>
        <color rgb="FF000000"/>
        <rFont val="Arial"/>
        <family val="2"/>
      </rPr>
      <t xml:space="preserve"> </t>
    </r>
  </si>
  <si>
    <r>
      <t xml:space="preserve">Punto adicional                                                             </t>
    </r>
    <r>
      <rPr>
        <sz val="10"/>
        <color rgb="FF000000"/>
        <rFont val="Arial"/>
        <family val="2"/>
      </rPr>
      <t xml:space="preserve">Termohigrómetros / Digitales  
20 %hr ≤ hr ≤ 80 %hr                                        10 °C ≤ t ≤ 40 °C  
</t>
    </r>
    <r>
      <rPr>
        <b/>
        <i/>
        <sz val="10"/>
        <color rgb="FF000000"/>
        <rFont val="Arial"/>
        <family val="2"/>
      </rPr>
      <t xml:space="preserve">                                                                 </t>
    </r>
  </si>
  <si>
    <t>Acreditado_Obs1</t>
  </si>
  <si>
    <t>26-1241A</t>
  </si>
  <si>
    <t>Aldeas Infantiles</t>
  </si>
  <si>
    <t xml:space="preserve">Cali </t>
  </si>
  <si>
    <t xml:space="preserve">David Rendon </t>
  </si>
  <si>
    <t>david.rendon@aldeasinfantiles.org.co</t>
  </si>
  <si>
    <t>300 2584998</t>
  </si>
  <si>
    <t>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</si>
</sst>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 #,##0_-;\-&quot;$&quot;\ * #,##0_-;_-&quot;$&quot;\ * &quot;-&quot;_-;_-@_-"/>
    <numFmt numFmtId="44" formatCode="_-&quot;$&quot;\ * #,##0.00_-;\-&quot;$&quot;\ * #,##0.00_-;_-&quot;$&quot;\ * &quot;-&quot;??_-;_-@_-"/>
    <numFmt numFmtId="164" formatCode="yyyy\-mm\-dd;@"/>
    <numFmt numFmtId="165" formatCode="_-&quot;$&quot;\ * #,##0_-;\-&quot;$&quot;\ * #,##0_-;_-&quot;$&quot;\ * &quot;-&quot;_-;_-@"/>
    <numFmt numFmtId="166" formatCode="[$$-240A]\ #,##0"/>
    <numFmt numFmtId="167" formatCode="&quot;$&quot;\ #,##0_);[Red]\(&quot;$&quot;\ #,##0\)"/>
    <numFmt numFmtId="168" formatCode="&quot;$&quot;\ #,##0"/>
  </numFmts>
  <fonts count="52">
    <font>
      <sz val="11"/>
      <color theme="1"/>
      <name val="Calibri"/>
      <family val="2"/>
      <scheme val="minor"/>
    </font>
    <font>
      <sz val="11"/>
      <color theme="1"/>
      <name val="Calibri"/>
      <family val="2"/>
      <scheme val="minor"/>
    </font>
    <font>
      <u/>
      <sz val="11"/>
      <color theme="10"/>
      <name val="Calibri"/>
      <family val="2"/>
      <scheme val="minor"/>
    </font>
    <font>
      <b/>
      <sz val="11"/>
      <color theme="1"/>
      <name val="Arial"/>
      <family val="2"/>
    </font>
    <font>
      <sz val="11"/>
      <color theme="1"/>
      <name val="Arial"/>
      <family val="2"/>
    </font>
    <font>
      <sz val="16"/>
      <color theme="1"/>
      <name val="Calibri"/>
      <family val="2"/>
    </font>
    <font>
      <sz val="22"/>
      <color theme="1"/>
      <name val="Calibri"/>
      <family val="2"/>
    </font>
    <font>
      <sz val="18"/>
      <color theme="1"/>
      <name val="Calibri"/>
      <family val="2"/>
    </font>
    <font>
      <sz val="10"/>
      <color rgb="FF000000"/>
      <name val="Arial"/>
      <family val="2"/>
    </font>
    <font>
      <sz val="11"/>
      <color rgb="FF000000"/>
      <name val="Arial"/>
      <family val="2"/>
    </font>
    <font>
      <vertAlign val="subscript"/>
      <sz val="11"/>
      <color rgb="FF000000"/>
      <name val="Arial"/>
      <family val="2"/>
    </font>
    <font>
      <sz val="11"/>
      <color theme="1"/>
      <name val="Calibri"/>
      <family val="2"/>
    </font>
    <font>
      <b/>
      <sz val="9"/>
      <color indexed="81"/>
      <name val="Tahoma"/>
      <family val="2"/>
    </font>
    <font>
      <sz val="9"/>
      <color indexed="81"/>
      <name val="Tahoma"/>
      <family val="2"/>
    </font>
    <font>
      <sz val="8"/>
      <name val="Calibri"/>
      <family val="2"/>
      <scheme val="minor"/>
    </font>
    <font>
      <sz val="12"/>
      <color rgb="FF000000"/>
      <name val="Cambria"/>
      <family val="1"/>
    </font>
    <font>
      <sz val="10"/>
      <color theme="1"/>
      <name val="Cambria"/>
      <family val="1"/>
    </font>
    <font>
      <b/>
      <sz val="26"/>
      <color theme="1"/>
      <name val="Cambria"/>
      <family val="1"/>
    </font>
    <font>
      <b/>
      <sz val="10"/>
      <color theme="1"/>
      <name val="Cambria"/>
      <family val="1"/>
    </font>
    <font>
      <sz val="12"/>
      <color theme="1"/>
      <name val="Cambria"/>
      <family val="1"/>
    </font>
    <font>
      <b/>
      <sz val="12"/>
      <color theme="1"/>
      <name val="Cambria"/>
      <family val="1"/>
    </font>
    <font>
      <b/>
      <sz val="11"/>
      <color theme="1"/>
      <name val="Cambria"/>
      <family val="1"/>
    </font>
    <font>
      <b/>
      <sz val="12"/>
      <color theme="4" tint="-0.499984740745262"/>
      <name val="Cambria"/>
      <family val="1"/>
    </font>
    <font>
      <sz val="12"/>
      <color rgb="FF242424"/>
      <name val="Cambria"/>
      <family val="1"/>
    </font>
    <font>
      <u/>
      <sz val="11"/>
      <color theme="10"/>
      <name val="Cambria"/>
      <family val="1"/>
    </font>
    <font>
      <sz val="11"/>
      <color theme="1"/>
      <name val="Cambria"/>
      <family val="1"/>
    </font>
    <font>
      <b/>
      <sz val="10"/>
      <color rgb="FFFF0000"/>
      <name val="Cambria"/>
      <family val="1"/>
    </font>
    <font>
      <sz val="10"/>
      <color rgb="FFFF0000"/>
      <name val="Cambria"/>
      <family val="1"/>
    </font>
    <font>
      <b/>
      <sz val="10"/>
      <color theme="4"/>
      <name val="Cambria"/>
      <family val="1"/>
    </font>
    <font>
      <b/>
      <sz val="10"/>
      <name val="Cambria"/>
      <family val="1"/>
    </font>
    <font>
      <sz val="10"/>
      <color rgb="FF000000"/>
      <name val="Cambria"/>
      <family val="1"/>
    </font>
    <font>
      <b/>
      <sz val="20"/>
      <color rgb="FF000000"/>
      <name val="Cambria"/>
      <family val="1"/>
    </font>
    <font>
      <sz val="10"/>
      <color rgb="FF595959"/>
      <name val="Cambria"/>
      <family val="1"/>
    </font>
    <font>
      <b/>
      <sz val="10"/>
      <color rgb="FF000000"/>
      <name val="Cambria"/>
      <family val="1"/>
    </font>
    <font>
      <b/>
      <sz val="10"/>
      <color rgb="FF000000"/>
      <name val="Cambria"/>
      <family val="1"/>
    </font>
    <font>
      <b/>
      <sz val="10"/>
      <color theme="4" tint="-0.499984740745262"/>
      <name val="Cambria"/>
      <family val="1"/>
    </font>
    <font>
      <b/>
      <sz val="12"/>
      <name val="Cambria"/>
      <family val="1"/>
    </font>
    <font>
      <b/>
      <sz val="11"/>
      <color rgb="FF000000"/>
      <name val="Cambria"/>
      <family val="1"/>
    </font>
    <font>
      <sz val="11"/>
      <color rgb="FF000000"/>
      <name val="Cambria"/>
      <family val="1"/>
    </font>
    <font>
      <sz val="10"/>
      <color theme="1"/>
      <name val="Cambria"/>
      <family val="1"/>
    </font>
    <font>
      <b/>
      <sz val="11"/>
      <color theme="4" tint="-0.249977111117893"/>
      <name val="Romans"/>
    </font>
    <font>
      <sz val="10"/>
      <name val="Arial"/>
      <family val="2"/>
    </font>
    <font>
      <sz val="11"/>
      <name val="Arial"/>
      <family val="2"/>
    </font>
    <font>
      <b/>
      <sz val="11"/>
      <name val="Arial"/>
      <family val="2"/>
    </font>
    <font>
      <b/>
      <sz val="12"/>
      <color theme="0"/>
      <name val="Arial"/>
      <family val="2"/>
    </font>
    <font>
      <b/>
      <sz val="10"/>
      <color theme="2"/>
      <name val="Arial"/>
      <family val="2"/>
    </font>
    <font>
      <b/>
      <sz val="11"/>
      <color theme="2"/>
      <name val="Arial"/>
      <family val="2"/>
    </font>
    <font>
      <b/>
      <sz val="18"/>
      <color theme="1"/>
      <name val="Calibri"/>
      <family val="2"/>
    </font>
    <font>
      <b/>
      <sz val="22"/>
      <color theme="1"/>
      <name val="Calibri"/>
      <family val="2"/>
    </font>
    <font>
      <sz val="11"/>
      <color rgb="FFFF0000"/>
      <name val="Arial"/>
      <family val="2"/>
    </font>
    <font>
      <sz val="10"/>
      <name val="Cambria"/>
      <family val="1"/>
    </font>
    <font>
      <b/>
      <i/>
      <sz val="10"/>
      <color rgb="FF000000"/>
      <name val="Arial"/>
      <family val="2"/>
    </font>
  </fonts>
  <fills count="20">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39997558519241921"/>
        <bgColor rgb="FF366092"/>
      </patternFill>
    </fill>
    <fill>
      <patternFill patternType="solid">
        <fgColor theme="0"/>
        <bgColor theme="0"/>
      </patternFill>
    </fill>
    <fill>
      <patternFill patternType="solid">
        <fgColor rgb="FFB068E6"/>
        <bgColor indexed="64"/>
      </patternFill>
    </fill>
    <fill>
      <patternFill patternType="solid">
        <fgColor theme="7" tint="0.39997558519241921"/>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8EA9DB"/>
        <bgColor rgb="FF000000"/>
      </patternFill>
    </fill>
    <fill>
      <patternFill patternType="solid">
        <fgColor rgb="FFFFFFFF"/>
        <bgColor rgb="FF000000"/>
      </patternFill>
    </fill>
    <fill>
      <patternFill patternType="solid">
        <fgColor theme="3" tint="-0.249977111117893"/>
        <bgColor indexed="64"/>
      </patternFill>
    </fill>
    <fill>
      <patternFill patternType="solid">
        <fgColor theme="3" tint="0.39997558519241921"/>
        <bgColor theme="0"/>
      </patternFill>
    </fill>
    <fill>
      <patternFill patternType="solid">
        <fgColor theme="3" tint="0.39997558519241921"/>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rgb="FFF8B2DF"/>
        <bgColor indexed="64"/>
      </patternFill>
    </fill>
    <fill>
      <patternFill patternType="solid">
        <fgColor rgb="FFF8B2DF"/>
        <bgColor theme="0"/>
      </patternFill>
    </fill>
  </fills>
  <borders count="83">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4" tint="-0.249977111117893"/>
      </top>
      <bottom style="thin">
        <color theme="4" tint="-0.249977111117893"/>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theme="4"/>
      </bottom>
      <diagonal/>
    </border>
    <border>
      <left/>
      <right style="thin">
        <color theme="4"/>
      </right>
      <top/>
      <bottom/>
      <diagonal/>
    </border>
    <border>
      <left style="thin">
        <color theme="4"/>
      </left>
      <right/>
      <top/>
      <bottom/>
      <diagonal/>
    </border>
    <border>
      <left/>
      <right style="thin">
        <color theme="4"/>
      </right>
      <top/>
      <bottom style="thin">
        <color theme="4"/>
      </bottom>
      <diagonal/>
    </border>
    <border>
      <left style="thin">
        <color theme="4"/>
      </left>
      <right/>
      <top/>
      <bottom style="thin">
        <color theme="4"/>
      </bottom>
      <diagonal/>
    </border>
    <border>
      <left style="thin">
        <color theme="4" tint="-0.249977111117893"/>
      </left>
      <right/>
      <top style="thin">
        <color theme="4"/>
      </top>
      <bottom/>
      <diagonal/>
    </border>
    <border>
      <left style="thin">
        <color theme="4"/>
      </left>
      <right/>
      <top style="thin">
        <color theme="4"/>
      </top>
      <bottom/>
      <diagonal/>
    </border>
    <border>
      <left style="thin">
        <color theme="4" tint="-0.249977111117893"/>
      </left>
      <right style="thin">
        <color theme="4"/>
      </right>
      <top style="thin">
        <color theme="4"/>
      </top>
      <bottom/>
      <diagonal/>
    </border>
    <border>
      <left style="thin">
        <color theme="4"/>
      </left>
      <right style="thin">
        <color theme="4" tint="-0.249977111117893"/>
      </right>
      <top style="thin">
        <color theme="4"/>
      </top>
      <bottom style="thin">
        <color theme="4"/>
      </bottom>
      <diagonal/>
    </border>
    <border>
      <left style="thin">
        <color theme="4" tint="-0.249977111117893"/>
      </left>
      <right style="thin">
        <color theme="4" tint="-0.249977111117893"/>
      </right>
      <top style="thin">
        <color theme="4"/>
      </top>
      <bottom style="thin">
        <color theme="4"/>
      </bottom>
      <diagonal/>
    </border>
    <border>
      <left style="thin">
        <color theme="4" tint="-0.249977111117893"/>
      </left>
      <right style="thin">
        <color theme="4"/>
      </right>
      <top style="thin">
        <color theme="4"/>
      </top>
      <bottom style="thin">
        <color theme="4"/>
      </bottom>
      <diagonal/>
    </border>
    <border>
      <left style="thin">
        <color theme="4" tint="-0.249977111117893"/>
      </left>
      <right style="thin">
        <color theme="4" tint="-0.249977111117893"/>
      </right>
      <top style="medium">
        <color theme="4"/>
      </top>
      <bottom style="medium">
        <color theme="4"/>
      </bottom>
      <diagonal/>
    </border>
    <border>
      <left/>
      <right style="thin">
        <color theme="4"/>
      </right>
      <top style="thin">
        <color theme="4" tint="-0.249977111117893"/>
      </top>
      <bottom style="thin">
        <color theme="4" tint="-0.249977111117893"/>
      </bottom>
      <diagonal/>
    </border>
    <border>
      <left style="thin">
        <color theme="4" tint="-0.249977111117893"/>
      </left>
      <right style="thin">
        <color theme="4"/>
      </right>
      <top style="thin">
        <color theme="4" tint="-0.249977111117893"/>
      </top>
      <bottom style="thin">
        <color theme="4" tint="-0.249977111117893"/>
      </bottom>
      <diagonal/>
    </border>
    <border>
      <left style="thin">
        <color theme="4"/>
      </left>
      <right style="thin">
        <color theme="4" tint="-0.249977111117893"/>
      </right>
      <top style="medium">
        <color theme="4"/>
      </top>
      <bottom style="medium">
        <color theme="4"/>
      </bottom>
      <diagonal/>
    </border>
    <border>
      <left style="thin">
        <color theme="4" tint="-0.249977111117893"/>
      </left>
      <right style="thin">
        <color theme="4"/>
      </right>
      <top style="medium">
        <color theme="4"/>
      </top>
      <bottom style="medium">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indexed="64"/>
      </right>
      <top/>
      <bottom style="thin">
        <color theme="4"/>
      </bottom>
      <diagonal/>
    </border>
    <border>
      <left style="thin">
        <color indexed="64"/>
      </left>
      <right style="thin">
        <color indexed="64"/>
      </right>
      <top/>
      <bottom style="thin">
        <color theme="4"/>
      </bottom>
      <diagonal/>
    </border>
    <border>
      <left style="thin">
        <color indexed="64"/>
      </left>
      <right style="thin">
        <color theme="4"/>
      </right>
      <top/>
      <bottom style="thin">
        <color theme="4"/>
      </bottom>
      <diagonal/>
    </border>
    <border>
      <left style="thin">
        <color theme="4"/>
      </left>
      <right style="thin">
        <color theme="4" tint="-0.249977111117893"/>
      </right>
      <top/>
      <bottom/>
      <diagonal/>
    </border>
    <border>
      <left style="thin">
        <color theme="4" tint="-0.249977111117893"/>
      </left>
      <right style="thin">
        <color theme="4" tint="-0.249977111117893"/>
      </right>
      <top/>
      <bottom/>
      <diagonal/>
    </border>
    <border>
      <left style="thin">
        <color theme="4" tint="-0.249977111117893"/>
      </left>
      <right style="thin">
        <color theme="4"/>
      </right>
      <top/>
      <bottom/>
      <diagonal/>
    </border>
    <border>
      <left style="thin">
        <color theme="4"/>
      </left>
      <right style="thin">
        <color theme="4" tint="-0.249977111117893"/>
      </right>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right>
      <top/>
      <bottom style="thin">
        <color theme="4" tint="-0.249977111117893"/>
      </bottom>
      <diagonal/>
    </border>
    <border>
      <left style="thin">
        <color theme="4"/>
      </left>
      <right style="thin">
        <color theme="4" tint="-0.249977111117893"/>
      </right>
      <top/>
      <bottom style="thin">
        <color theme="4"/>
      </bottom>
      <diagonal/>
    </border>
    <border>
      <left style="thin">
        <color theme="4" tint="-0.249977111117893"/>
      </left>
      <right style="thin">
        <color theme="4" tint="-0.249977111117893"/>
      </right>
      <top/>
      <bottom style="thin">
        <color theme="4"/>
      </bottom>
      <diagonal/>
    </border>
    <border>
      <left style="thin">
        <color theme="4" tint="-0.249977111117893"/>
      </left>
      <right style="thin">
        <color theme="4"/>
      </right>
      <top/>
      <bottom style="thin">
        <color theme="4"/>
      </bottom>
      <diagonal/>
    </border>
    <border>
      <left style="thin">
        <color theme="4"/>
      </left>
      <right style="thin">
        <color indexed="64"/>
      </right>
      <top style="thin">
        <color theme="4"/>
      </top>
      <bottom style="thin">
        <color theme="4"/>
      </bottom>
      <diagonal/>
    </border>
    <border>
      <left style="thin">
        <color indexed="64"/>
      </left>
      <right style="thin">
        <color indexed="64"/>
      </right>
      <top style="thin">
        <color theme="4"/>
      </top>
      <bottom style="thin">
        <color theme="4"/>
      </bottom>
      <diagonal/>
    </border>
    <border>
      <left style="thin">
        <color indexed="64"/>
      </left>
      <right style="thin">
        <color theme="4"/>
      </right>
      <top style="thin">
        <color theme="4"/>
      </top>
      <bottom style="thin">
        <color theme="4"/>
      </bottom>
      <diagonal/>
    </border>
    <border>
      <left style="thin">
        <color theme="4"/>
      </left>
      <right style="thin">
        <color theme="4" tint="-0.249977111117893"/>
      </right>
      <top style="thin">
        <color theme="4"/>
      </top>
      <bottom/>
      <diagonal/>
    </border>
    <border>
      <left style="thin">
        <color theme="4" tint="-0.249977111117893"/>
      </left>
      <right style="thin">
        <color theme="4" tint="-0.249977111117893"/>
      </right>
      <top style="thin">
        <color theme="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0">
    <xf numFmtId="0" fontId="0" fillId="0" borderId="0"/>
    <xf numFmtId="9" fontId="1" fillId="0" borderId="0" applyFont="0" applyFill="0" applyBorder="0" applyAlignment="0" applyProtection="0"/>
    <xf numFmtId="0" fontId="2" fillId="0" borderId="0" applyNumberFormat="0" applyFill="0" applyBorder="0" applyAlignment="0" applyProtection="0"/>
    <xf numFmtId="44" fontId="1" fillId="0" borderId="0" applyFont="0" applyFill="0" applyBorder="0" applyAlignment="0" applyProtection="0"/>
    <xf numFmtId="0" fontId="4" fillId="0" borderId="0"/>
    <xf numFmtId="42"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41" fillId="0" borderId="0"/>
    <xf numFmtId="0" fontId="41" fillId="0" borderId="0"/>
  </cellStyleXfs>
  <cellXfs count="327">
    <xf numFmtId="0" fontId="0" fillId="0" borderId="0" xfId="0"/>
    <xf numFmtId="0" fontId="4" fillId="0" borderId="0" xfId="4"/>
    <xf numFmtId="0" fontId="4" fillId="5" borderId="4" xfId="4" applyFill="1" applyBorder="1" applyAlignment="1">
      <alignment horizontal="center" vertical="center" wrapText="1"/>
    </xf>
    <xf numFmtId="0" fontId="9" fillId="5" borderId="4" xfId="4" applyFont="1" applyFill="1" applyBorder="1" applyAlignment="1">
      <alignment horizontal="center" vertical="center" wrapText="1"/>
    </xf>
    <xf numFmtId="0" fontId="11" fillId="5" borderId="0" xfId="4" applyFont="1" applyFill="1"/>
    <xf numFmtId="0" fontId="9" fillId="2" borderId="4" xfId="0" applyFont="1" applyFill="1" applyBorder="1" applyAlignment="1">
      <alignment horizontal="center" vertical="center" wrapText="1"/>
    </xf>
    <xf numFmtId="0" fontId="4" fillId="2" borderId="4" xfId="4" applyFill="1" applyBorder="1" applyAlignment="1">
      <alignment horizontal="center" vertical="center"/>
    </xf>
    <xf numFmtId="167" fontId="4" fillId="5" borderId="4" xfId="4" applyNumberFormat="1" applyFill="1" applyBorder="1" applyAlignment="1">
      <alignment horizontal="center" vertical="center" wrapText="1"/>
    </xf>
    <xf numFmtId="168" fontId="4" fillId="2" borderId="4" xfId="3" applyNumberFormat="1" applyFont="1" applyFill="1" applyBorder="1" applyAlignment="1">
      <alignment vertical="center"/>
    </xf>
    <xf numFmtId="167" fontId="4" fillId="2" borderId="4" xfId="4" applyNumberFormat="1" applyFill="1" applyBorder="1" applyAlignment="1">
      <alignment horizontal="center" vertical="center"/>
    </xf>
    <xf numFmtId="0" fontId="9" fillId="5" borderId="10" xfId="4" applyFont="1" applyFill="1" applyBorder="1" applyAlignment="1">
      <alignment horizontal="center" vertical="center" wrapText="1"/>
    </xf>
    <xf numFmtId="0" fontId="9" fillId="2" borderId="10" xfId="0" applyFont="1" applyFill="1" applyBorder="1" applyAlignment="1">
      <alignment horizontal="center" vertical="center" wrapText="1"/>
    </xf>
    <xf numFmtId="0" fontId="4" fillId="2" borderId="10" xfId="4" applyFill="1" applyBorder="1" applyAlignment="1">
      <alignment horizontal="center" vertical="center"/>
    </xf>
    <xf numFmtId="167" fontId="4" fillId="5" borderId="10" xfId="4" applyNumberFormat="1" applyFill="1" applyBorder="1" applyAlignment="1">
      <alignment horizontal="center" vertical="center" wrapText="1"/>
    </xf>
    <xf numFmtId="168" fontId="4" fillId="2" borderId="10" xfId="3" applyNumberFormat="1" applyFont="1" applyFill="1" applyBorder="1" applyAlignment="1">
      <alignment vertical="center"/>
    </xf>
    <xf numFmtId="0" fontId="9" fillId="5" borderId="15" xfId="4" applyFont="1" applyFill="1" applyBorder="1" applyAlignment="1">
      <alignment horizontal="center" vertical="center" wrapText="1"/>
    </xf>
    <xf numFmtId="0" fontId="9" fillId="2" borderId="15" xfId="0" applyFont="1" applyFill="1" applyBorder="1" applyAlignment="1">
      <alignment horizontal="center" vertical="center" wrapText="1"/>
    </xf>
    <xf numFmtId="0" fontId="4" fillId="2" borderId="15" xfId="4" applyFill="1" applyBorder="1" applyAlignment="1">
      <alignment horizontal="center" vertical="center"/>
    </xf>
    <xf numFmtId="167" fontId="4" fillId="5" borderId="15" xfId="4" applyNumberFormat="1" applyFill="1" applyBorder="1" applyAlignment="1">
      <alignment horizontal="center" vertical="center" wrapText="1"/>
    </xf>
    <xf numFmtId="168" fontId="4" fillId="2" borderId="16" xfId="3" applyNumberFormat="1" applyFont="1" applyFill="1" applyBorder="1" applyAlignment="1">
      <alignment vertical="center"/>
    </xf>
    <xf numFmtId="0" fontId="9" fillId="5" borderId="17" xfId="4" applyFont="1" applyFill="1" applyBorder="1" applyAlignment="1">
      <alignment horizontal="center" vertical="center" wrapText="1"/>
    </xf>
    <xf numFmtId="0" fontId="9" fillId="2" borderId="17" xfId="0" applyFont="1" applyFill="1" applyBorder="1" applyAlignment="1">
      <alignment horizontal="center" vertical="center" wrapText="1"/>
    </xf>
    <xf numFmtId="0" fontId="4" fillId="2" borderId="17" xfId="4" applyFill="1" applyBorder="1" applyAlignment="1">
      <alignment horizontal="center" vertical="center"/>
    </xf>
    <xf numFmtId="167" fontId="4" fillId="5" borderId="17" xfId="4" applyNumberFormat="1" applyFill="1" applyBorder="1" applyAlignment="1">
      <alignment horizontal="center" vertical="center" wrapText="1"/>
    </xf>
    <xf numFmtId="168" fontId="4" fillId="2" borderId="18" xfId="3" applyNumberFormat="1" applyFont="1" applyFill="1" applyBorder="1" applyAlignment="1">
      <alignment vertical="center"/>
    </xf>
    <xf numFmtId="168" fontId="4" fillId="2" borderId="8" xfId="3" applyNumberFormat="1" applyFont="1" applyFill="1" applyBorder="1" applyAlignment="1">
      <alignment vertical="center"/>
    </xf>
    <xf numFmtId="0" fontId="8" fillId="5" borderId="13" xfId="4" applyFont="1" applyFill="1" applyBorder="1" applyAlignment="1">
      <alignment horizontal="left" vertical="center" wrapText="1"/>
    </xf>
    <xf numFmtId="0" fontId="8" fillId="5" borderId="14" xfId="4" applyFont="1" applyFill="1" applyBorder="1" applyAlignment="1">
      <alignment horizontal="left" vertical="center" wrapText="1"/>
    </xf>
    <xf numFmtId="0" fontId="9" fillId="5" borderId="14" xfId="4" applyFont="1" applyFill="1" applyBorder="1" applyAlignment="1">
      <alignment horizontal="left" vertical="center" wrapText="1"/>
    </xf>
    <xf numFmtId="0" fontId="8" fillId="5" borderId="12" xfId="4" applyFont="1" applyFill="1" applyBorder="1" applyAlignment="1">
      <alignment horizontal="left" vertical="center" wrapText="1"/>
    </xf>
    <xf numFmtId="0" fontId="9" fillId="5" borderId="9" xfId="4" applyFont="1" applyFill="1" applyBorder="1" applyAlignment="1">
      <alignment horizontal="center" vertical="center" wrapText="1"/>
    </xf>
    <xf numFmtId="0" fontId="9" fillId="2" borderId="9" xfId="0" applyFont="1" applyFill="1" applyBorder="1" applyAlignment="1">
      <alignment horizontal="center" vertical="center" wrapText="1"/>
    </xf>
    <xf numFmtId="0" fontId="4" fillId="2" borderId="9" xfId="4" applyFill="1" applyBorder="1" applyAlignment="1">
      <alignment horizontal="center" vertical="center"/>
    </xf>
    <xf numFmtId="167" fontId="4" fillId="5" borderId="9" xfId="4" applyNumberFormat="1" applyFill="1" applyBorder="1" applyAlignment="1">
      <alignment horizontal="center" vertical="center" wrapText="1"/>
    </xf>
    <xf numFmtId="168" fontId="4" fillId="2" borderId="9" xfId="3" applyNumberFormat="1" applyFont="1" applyFill="1" applyBorder="1" applyAlignment="1">
      <alignment vertical="center"/>
    </xf>
    <xf numFmtId="0" fontId="9" fillId="5" borderId="28" xfId="4" applyFont="1" applyFill="1" applyBorder="1" applyAlignment="1">
      <alignment horizontal="left" vertical="center" wrapText="1"/>
    </xf>
    <xf numFmtId="0" fontId="4" fillId="5" borderId="15" xfId="4" applyFill="1" applyBorder="1" applyAlignment="1">
      <alignment horizontal="center" vertical="center" wrapText="1"/>
    </xf>
    <xf numFmtId="167" fontId="4" fillId="2" borderId="15" xfId="4" applyNumberFormat="1" applyFill="1" applyBorder="1" applyAlignment="1">
      <alignment horizontal="center" vertical="center"/>
    </xf>
    <xf numFmtId="0" fontId="4" fillId="0" borderId="19" xfId="4" applyBorder="1"/>
    <xf numFmtId="0" fontId="4" fillId="0" borderId="20" xfId="4" applyBorder="1"/>
    <xf numFmtId="0" fontId="8" fillId="5" borderId="28" xfId="4" applyFont="1" applyFill="1" applyBorder="1" applyAlignment="1">
      <alignment horizontal="left" vertical="center" wrapText="1"/>
    </xf>
    <xf numFmtId="0" fontId="8" fillId="5" borderId="29" xfId="4" applyFont="1" applyFill="1" applyBorder="1" applyAlignment="1">
      <alignment horizontal="left" vertical="center" wrapText="1"/>
    </xf>
    <xf numFmtId="0" fontId="4" fillId="5" borderId="4" xfId="4" applyFill="1" applyBorder="1" applyAlignment="1">
      <alignment horizontal="center" wrapText="1"/>
    </xf>
    <xf numFmtId="168" fontId="4" fillId="2" borderId="16" xfId="6" applyNumberFormat="1" applyFont="1" applyFill="1" applyBorder="1" applyAlignment="1">
      <alignment vertical="center"/>
    </xf>
    <xf numFmtId="168" fontId="4" fillId="2" borderId="18" xfId="6" applyNumberFormat="1" applyFont="1" applyFill="1" applyBorder="1" applyAlignment="1">
      <alignment vertical="center"/>
    </xf>
    <xf numFmtId="0" fontId="16" fillId="0" borderId="0" xfId="0" applyFont="1" applyProtection="1">
      <protection locked="0"/>
    </xf>
    <xf numFmtId="0" fontId="18" fillId="0" borderId="0" xfId="0" applyFont="1" applyAlignment="1" applyProtection="1">
      <alignment vertical="center" wrapText="1"/>
      <protection locked="0"/>
    </xf>
    <xf numFmtId="0" fontId="17" fillId="0" borderId="0" xfId="0" applyFont="1" applyAlignment="1" applyProtection="1">
      <alignment horizontal="center" vertical="top" wrapText="1"/>
      <protection locked="0"/>
    </xf>
    <xf numFmtId="0" fontId="19" fillId="0" borderId="0" xfId="0" applyFont="1" applyProtection="1">
      <protection locked="0"/>
    </xf>
    <xf numFmtId="0" fontId="21" fillId="3" borderId="1" xfId="0" applyFont="1" applyFill="1" applyBorder="1" applyAlignment="1" applyProtection="1">
      <alignment horizontal="left" vertical="center" wrapText="1"/>
      <protection locked="0"/>
    </xf>
    <xf numFmtId="1" fontId="19" fillId="5" borderId="1" xfId="1" applyNumberFormat="1" applyFont="1" applyFill="1" applyBorder="1" applyAlignment="1" applyProtection="1">
      <alignment horizontal="center" vertical="center" wrapText="1"/>
      <protection locked="0"/>
    </xf>
    <xf numFmtId="165" fontId="16" fillId="0" borderId="0" xfId="0" applyNumberFormat="1" applyFont="1" applyProtection="1">
      <protection locked="0"/>
    </xf>
    <xf numFmtId="0" fontId="21" fillId="4" borderId="3" xfId="0" applyFont="1" applyFill="1" applyBorder="1" applyAlignment="1" applyProtection="1">
      <alignment vertical="center" wrapText="1"/>
      <protection locked="0"/>
    </xf>
    <xf numFmtId="0" fontId="19" fillId="2" borderId="30" xfId="0" applyFont="1" applyFill="1" applyBorder="1" applyAlignment="1" applyProtection="1">
      <alignment horizontal="center" vertical="center" wrapText="1"/>
      <protection locked="0"/>
    </xf>
    <xf numFmtId="0" fontId="25" fillId="2" borderId="30" xfId="0" applyFont="1" applyFill="1" applyBorder="1" applyAlignment="1">
      <alignment horizontal="center" vertical="center" wrapText="1"/>
    </xf>
    <xf numFmtId="42" fontId="19" fillId="2" borderId="30" xfId="5" applyFont="1" applyFill="1" applyBorder="1" applyAlignment="1" applyProtection="1">
      <alignment horizontal="center" vertical="center" wrapText="1"/>
    </xf>
    <xf numFmtId="0" fontId="33" fillId="0" borderId="0" xfId="0" applyFont="1"/>
    <xf numFmtId="0" fontId="39" fillId="0" borderId="0" xfId="0" applyFont="1" applyAlignment="1" applyProtection="1">
      <alignment wrapText="1"/>
      <protection locked="0"/>
    </xf>
    <xf numFmtId="0" fontId="37" fillId="0" borderId="0" xfId="0" applyFont="1" applyAlignment="1" applyProtection="1">
      <alignment vertical="center"/>
      <protection locked="0"/>
    </xf>
    <xf numFmtId="0" fontId="37" fillId="0" borderId="38" xfId="0" applyFont="1" applyBorder="1" applyAlignment="1" applyProtection="1">
      <alignment vertical="center"/>
      <protection locked="0"/>
    </xf>
    <xf numFmtId="0" fontId="21" fillId="0" borderId="0" xfId="0" applyFont="1" applyAlignment="1">
      <alignment horizontal="right" vertical="center"/>
    </xf>
    <xf numFmtId="0" fontId="16" fillId="0" borderId="31" xfId="0" applyFont="1" applyBorder="1" applyProtection="1">
      <protection locked="0"/>
    </xf>
    <xf numFmtId="0" fontId="15" fillId="2" borderId="34" xfId="0" applyFont="1" applyFill="1" applyBorder="1" applyAlignment="1" applyProtection="1">
      <alignment horizontal="center" vertical="center" wrapText="1"/>
      <protection locked="0"/>
    </xf>
    <xf numFmtId="42" fontId="19" fillId="2" borderId="33" xfId="5" applyFont="1" applyFill="1" applyBorder="1" applyAlignment="1" applyProtection="1">
      <alignment horizontal="center" vertical="center"/>
    </xf>
    <xf numFmtId="0" fontId="20" fillId="0" borderId="32" xfId="0" applyFont="1" applyBorder="1" applyAlignment="1" applyProtection="1">
      <alignment vertical="center" wrapText="1"/>
      <protection locked="0"/>
    </xf>
    <xf numFmtId="0" fontId="20" fillId="0" borderId="0" xfId="0" applyFont="1" applyAlignment="1" applyProtection="1">
      <alignment vertical="center" wrapText="1"/>
      <protection locked="0"/>
    </xf>
    <xf numFmtId="165" fontId="19" fillId="0" borderId="43" xfId="0" applyNumberFormat="1" applyFont="1" applyBorder="1" applyAlignment="1">
      <alignment vertical="center"/>
    </xf>
    <xf numFmtId="165" fontId="20" fillId="0" borderId="43" xfId="0" applyNumberFormat="1" applyFont="1" applyBorder="1" applyAlignment="1">
      <alignment vertical="center"/>
    </xf>
    <xf numFmtId="0" fontId="37" fillId="0" borderId="31" xfId="0" applyFont="1" applyBorder="1" applyAlignment="1" applyProtection="1">
      <alignment vertical="center"/>
      <protection locked="0"/>
    </xf>
    <xf numFmtId="0" fontId="26" fillId="2" borderId="32" xfId="0" applyFont="1" applyFill="1" applyBorder="1" applyAlignment="1">
      <alignment horizontal="left" vertical="center" wrapText="1"/>
    </xf>
    <xf numFmtId="0" fontId="21" fillId="4" borderId="46" xfId="0" applyFont="1" applyFill="1" applyBorder="1" applyAlignment="1">
      <alignment horizontal="center" vertical="center" wrapText="1"/>
    </xf>
    <xf numFmtId="0" fontId="21" fillId="4" borderId="47" xfId="0" applyFont="1" applyFill="1" applyBorder="1" applyAlignment="1">
      <alignment horizontal="center" vertical="center" wrapText="1"/>
    </xf>
    <xf numFmtId="0" fontId="21" fillId="4" borderId="48" xfId="0" applyFont="1" applyFill="1" applyBorder="1" applyAlignment="1">
      <alignment horizontal="center" vertical="center" wrapText="1"/>
    </xf>
    <xf numFmtId="0" fontId="16" fillId="2" borderId="0" xfId="0" applyFont="1" applyFill="1" applyProtection="1">
      <protection locked="0"/>
    </xf>
    <xf numFmtId="0" fontId="16" fillId="2" borderId="31" xfId="0" applyFont="1" applyFill="1" applyBorder="1" applyProtection="1">
      <protection locked="0"/>
    </xf>
    <xf numFmtId="0" fontId="4" fillId="0" borderId="0" xfId="0" applyFont="1"/>
    <xf numFmtId="0" fontId="43" fillId="0" borderId="0" xfId="9" applyFont="1" applyAlignment="1">
      <alignment vertical="center"/>
    </xf>
    <xf numFmtId="0" fontId="3" fillId="0" borderId="73" xfId="0" applyFont="1" applyBorder="1" applyAlignment="1">
      <alignment horizontal="center" vertical="center" wrapText="1"/>
    </xf>
    <xf numFmtId="0" fontId="4" fillId="0" borderId="73" xfId="0" applyFont="1" applyBorder="1" applyAlignment="1">
      <alignment horizontal="center" vertical="center"/>
    </xf>
    <xf numFmtId="0" fontId="42" fillId="0" borderId="73" xfId="0" applyFont="1" applyBorder="1" applyAlignment="1">
      <alignment horizontal="center" vertical="center"/>
    </xf>
    <xf numFmtId="164" fontId="4" fillId="0" borderId="0" xfId="0" applyNumberFormat="1" applyFont="1"/>
    <xf numFmtId="0" fontId="5" fillId="0" borderId="76" xfId="4" applyFont="1" applyBorder="1" applyAlignment="1">
      <alignment wrapText="1"/>
    </xf>
    <xf numFmtId="0" fontId="5" fillId="0" borderId="5" xfId="4" applyFont="1" applyBorder="1" applyAlignment="1">
      <alignment wrapText="1"/>
    </xf>
    <xf numFmtId="0" fontId="5" fillId="0" borderId="75" xfId="4" applyFont="1" applyBorder="1" applyAlignment="1">
      <alignment wrapText="1"/>
    </xf>
    <xf numFmtId="0" fontId="5" fillId="0" borderId="0" xfId="4" applyFont="1" applyAlignment="1">
      <alignment wrapText="1"/>
    </xf>
    <xf numFmtId="0" fontId="45" fillId="14" borderId="7" xfId="4" applyFont="1" applyFill="1" applyBorder="1" applyAlignment="1">
      <alignment horizontal="center" vertical="center" wrapText="1"/>
    </xf>
    <xf numFmtId="0" fontId="46" fillId="15" borderId="7" xfId="4" applyFont="1" applyFill="1" applyBorder="1" applyAlignment="1">
      <alignment horizontal="center" vertical="center"/>
    </xf>
    <xf numFmtId="0" fontId="46" fillId="15" borderId="7" xfId="4" applyFont="1" applyFill="1" applyBorder="1" applyAlignment="1">
      <alignment horizontal="center" vertical="center" wrapText="1"/>
    </xf>
    <xf numFmtId="0" fontId="8" fillId="5" borderId="10" xfId="4" applyFont="1" applyFill="1" applyBorder="1" applyAlignment="1">
      <alignment horizontal="left" vertical="center" wrapText="1"/>
    </xf>
    <xf numFmtId="167" fontId="49" fillId="5" borderId="9" xfId="4" applyNumberFormat="1" applyFont="1" applyFill="1" applyBorder="1" applyAlignment="1">
      <alignment horizontal="center" vertical="center" wrapText="1"/>
    </xf>
    <xf numFmtId="49" fontId="4" fillId="2" borderId="4" xfId="4" applyNumberFormat="1" applyFill="1" applyBorder="1" applyAlignment="1">
      <alignment horizontal="center" vertical="center"/>
    </xf>
    <xf numFmtId="49" fontId="4" fillId="2" borderId="10" xfId="4" applyNumberFormat="1" applyFill="1" applyBorder="1" applyAlignment="1">
      <alignment horizontal="center" vertical="center"/>
    </xf>
    <xf numFmtId="168" fontId="4" fillId="18" borderId="4" xfId="6" applyNumberFormat="1" applyFont="1" applyFill="1" applyBorder="1" applyAlignment="1">
      <alignment horizontal="center" vertical="center"/>
    </xf>
    <xf numFmtId="168" fontId="4" fillId="18" borderId="7" xfId="6" applyNumberFormat="1" applyFont="1" applyFill="1" applyBorder="1" applyAlignment="1">
      <alignment horizontal="center" vertical="center"/>
    </xf>
    <xf numFmtId="0" fontId="51" fillId="5" borderId="69" xfId="4" applyFont="1" applyFill="1" applyBorder="1" applyAlignment="1">
      <alignment horizontal="left" vertical="center" wrapText="1"/>
    </xf>
    <xf numFmtId="0" fontId="51" fillId="5" borderId="4" xfId="4" applyFont="1" applyFill="1" applyBorder="1" applyAlignment="1">
      <alignment horizontal="left" vertical="center" wrapText="1"/>
    </xf>
    <xf numFmtId="0" fontId="20" fillId="0" borderId="32" xfId="0" applyFont="1" applyBorder="1" applyAlignment="1">
      <alignment horizontal="right" vertical="center" wrapText="1"/>
    </xf>
    <xf numFmtId="0" fontId="21" fillId="0" borderId="32" xfId="0" applyFont="1" applyBorder="1" applyAlignment="1">
      <alignment horizontal="right" vertical="center" wrapText="1"/>
    </xf>
    <xf numFmtId="0" fontId="16" fillId="0" borderId="32" xfId="0" applyFont="1" applyBorder="1" applyAlignment="1" applyProtection="1">
      <alignment wrapText="1"/>
      <protection locked="0"/>
    </xf>
    <xf numFmtId="0" fontId="37" fillId="0" borderId="32" xfId="0" applyFont="1" applyBorder="1" applyAlignment="1" applyProtection="1">
      <alignment vertical="center" wrapText="1"/>
      <protection locked="0"/>
    </xf>
    <xf numFmtId="0" fontId="16" fillId="0" borderId="0" xfId="0" applyFont="1" applyAlignment="1" applyProtection="1">
      <alignment wrapText="1"/>
      <protection locked="0"/>
    </xf>
    <xf numFmtId="0" fontId="51" fillId="5" borderId="10" xfId="4" applyFont="1" applyFill="1" applyBorder="1" applyAlignment="1">
      <alignment horizontal="left" vertical="center" wrapText="1"/>
    </xf>
    <xf numFmtId="168" fontId="4" fillId="2" borderId="16" xfId="6" applyNumberFormat="1" applyFont="1" applyFill="1" applyBorder="1" applyAlignment="1">
      <alignment horizontal="center" vertical="center"/>
    </xf>
    <xf numFmtId="0" fontId="51" fillId="5" borderId="29" xfId="4" applyFont="1" applyFill="1" applyBorder="1" applyAlignment="1">
      <alignment horizontal="left" vertical="center" wrapText="1"/>
    </xf>
    <xf numFmtId="168" fontId="4" fillId="18" borderId="17" xfId="6" applyNumberFormat="1" applyFont="1" applyFill="1" applyBorder="1" applyAlignment="1">
      <alignment horizontal="center" vertical="center"/>
    </xf>
    <xf numFmtId="168" fontId="4" fillId="18" borderId="10" xfId="6" applyNumberFormat="1" applyFont="1" applyFill="1" applyBorder="1" applyAlignment="1">
      <alignment horizontal="center" vertical="center"/>
    </xf>
    <xf numFmtId="168" fontId="4" fillId="2" borderId="79" xfId="6" applyNumberFormat="1" applyFont="1" applyFill="1" applyBorder="1" applyAlignment="1">
      <alignment horizontal="center" vertical="center"/>
    </xf>
    <xf numFmtId="0" fontId="45" fillId="14" borderId="80" xfId="4" applyFont="1" applyFill="1" applyBorder="1" applyAlignment="1">
      <alignment horizontal="center" vertical="center" wrapText="1"/>
    </xf>
    <xf numFmtId="0" fontId="45" fillId="14" borderId="81" xfId="4" applyFont="1" applyFill="1" applyBorder="1" applyAlignment="1">
      <alignment horizontal="center" vertical="center" wrapText="1"/>
    </xf>
    <xf numFmtId="0" fontId="46" fillId="15" borderId="81" xfId="4" applyFont="1" applyFill="1" applyBorder="1" applyAlignment="1">
      <alignment horizontal="center" vertical="center"/>
    </xf>
    <xf numFmtId="0" fontId="46" fillId="15" borderId="81" xfId="4" applyFont="1" applyFill="1" applyBorder="1" applyAlignment="1">
      <alignment horizontal="center" vertical="center" wrapText="1"/>
    </xf>
    <xf numFmtId="0" fontId="46" fillId="15" borderId="82" xfId="4" applyFont="1" applyFill="1" applyBorder="1" applyAlignment="1">
      <alignment horizontal="center" vertical="center" wrapText="1"/>
    </xf>
    <xf numFmtId="167" fontId="4" fillId="19" borderId="4" xfId="4" applyNumberFormat="1" applyFill="1" applyBorder="1" applyAlignment="1">
      <alignment horizontal="center" vertical="center" wrapText="1"/>
    </xf>
    <xf numFmtId="0" fontId="19" fillId="2" borderId="30" xfId="0" applyFont="1" applyFill="1" applyBorder="1" applyAlignment="1">
      <alignment horizontal="center" vertical="center" wrapText="1"/>
    </xf>
    <xf numFmtId="0" fontId="28" fillId="2" borderId="32" xfId="0" applyFont="1" applyFill="1" applyBorder="1" applyAlignment="1" applyProtection="1">
      <alignment horizontal="center"/>
      <protection locked="0"/>
    </xf>
    <xf numFmtId="0" fontId="28" fillId="2" borderId="0" xfId="0" applyFont="1" applyFill="1" applyAlignment="1" applyProtection="1">
      <alignment horizontal="center"/>
      <protection locked="0"/>
    </xf>
    <xf numFmtId="0" fontId="30" fillId="2" borderId="32" xfId="0" applyFont="1" applyFill="1" applyBorder="1" applyAlignment="1">
      <alignment horizontal="left" vertical="center" wrapText="1"/>
    </xf>
    <xf numFmtId="0" fontId="16" fillId="2" borderId="0" xfId="0" applyFont="1" applyFill="1" applyAlignment="1">
      <alignment horizontal="left" vertical="center" wrapText="1"/>
    </xf>
    <xf numFmtId="0" fontId="16" fillId="2" borderId="31" xfId="0" applyFont="1" applyFill="1" applyBorder="1" applyAlignment="1">
      <alignment horizontal="left" vertical="center" wrapText="1"/>
    </xf>
    <xf numFmtId="0" fontId="21" fillId="3" borderId="58" xfId="0" applyFont="1" applyFill="1" applyBorder="1" applyAlignment="1">
      <alignment horizontal="center" vertical="center" wrapText="1"/>
    </xf>
    <xf numFmtId="0" fontId="21" fillId="3" borderId="59" xfId="0" applyFont="1" applyFill="1" applyBorder="1" applyAlignment="1">
      <alignment horizontal="center" vertical="center" wrapText="1"/>
    </xf>
    <xf numFmtId="0" fontId="21" fillId="3" borderId="60" xfId="0" applyFont="1" applyFill="1" applyBorder="1" applyAlignment="1">
      <alignment horizontal="center" vertical="center" wrapText="1"/>
    </xf>
    <xf numFmtId="0" fontId="16" fillId="0" borderId="52" xfId="0" applyFont="1" applyBorder="1" applyAlignment="1">
      <alignment horizontal="left" vertical="top" wrapText="1"/>
    </xf>
    <xf numFmtId="0" fontId="16" fillId="0" borderId="53" xfId="0" applyFont="1" applyBorder="1" applyAlignment="1">
      <alignment horizontal="left" vertical="top" wrapText="1"/>
    </xf>
    <xf numFmtId="0" fontId="16" fillId="0" borderId="54" xfId="0" applyFont="1" applyBorder="1" applyAlignment="1">
      <alignment horizontal="left" vertical="top" wrapText="1"/>
    </xf>
    <xf numFmtId="0" fontId="21" fillId="4" borderId="38" xfId="0" applyFont="1" applyFill="1" applyBorder="1" applyAlignment="1">
      <alignment horizontal="center" vertical="center" wrapText="1"/>
    </xf>
    <xf numFmtId="0" fontId="21" fillId="4" borderId="39" xfId="0" applyFont="1" applyFill="1" applyBorder="1" applyAlignment="1">
      <alignment horizontal="center" vertical="center" wrapText="1"/>
    </xf>
    <xf numFmtId="0" fontId="21" fillId="4" borderId="40" xfId="0" applyFont="1" applyFill="1" applyBorder="1" applyAlignment="1">
      <alignment horizontal="center" vertical="center" wrapText="1"/>
    </xf>
    <xf numFmtId="0" fontId="16" fillId="0" borderId="55" xfId="0" applyFont="1" applyBorder="1" applyAlignment="1">
      <alignment horizontal="left" vertical="top" wrapText="1"/>
    </xf>
    <xf numFmtId="0" fontId="16" fillId="0" borderId="56" xfId="0" applyFont="1" applyBorder="1" applyAlignment="1">
      <alignment horizontal="left" vertical="top" wrapText="1"/>
    </xf>
    <xf numFmtId="0" fontId="16" fillId="0" borderId="57" xfId="0" applyFont="1" applyBorder="1" applyAlignment="1">
      <alignment horizontal="left" vertical="top" wrapText="1"/>
    </xf>
    <xf numFmtId="0" fontId="18" fillId="0" borderId="46"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35" fillId="12" borderId="32" xfId="0" applyFont="1" applyFill="1" applyBorder="1" applyAlignment="1">
      <alignment horizontal="right" vertical="center"/>
    </xf>
    <xf numFmtId="0" fontId="35" fillId="12" borderId="0" xfId="0" applyFont="1" applyFill="1" applyAlignment="1">
      <alignment horizontal="right" vertical="center"/>
    </xf>
    <xf numFmtId="0" fontId="40" fillId="2" borderId="0" xfId="0" applyFont="1" applyFill="1" applyAlignment="1">
      <alignment horizontal="center" vertical="center" wrapText="1"/>
    </xf>
    <xf numFmtId="0" fontId="40" fillId="2" borderId="31" xfId="0" applyFont="1" applyFill="1" applyBorder="1" applyAlignment="1">
      <alignment horizontal="center" vertical="center" wrapText="1"/>
    </xf>
    <xf numFmtId="0" fontId="21" fillId="4" borderId="64" xfId="0" applyFont="1" applyFill="1" applyBorder="1" applyAlignment="1">
      <alignment horizontal="center" vertical="center" wrapText="1"/>
    </xf>
    <xf numFmtId="0" fontId="21" fillId="4" borderId="65" xfId="0" applyFont="1" applyFill="1" applyBorder="1" applyAlignment="1">
      <alignment horizontal="center" vertical="center" wrapText="1"/>
    </xf>
    <xf numFmtId="0" fontId="21" fillId="4" borderId="37" xfId="0" applyFont="1" applyFill="1" applyBorder="1" applyAlignment="1">
      <alignment horizontal="center" vertical="center" wrapText="1"/>
    </xf>
    <xf numFmtId="0" fontId="16" fillId="0" borderId="61" xfId="0" applyFont="1" applyBorder="1" applyAlignment="1">
      <alignment horizontal="left" vertical="top" wrapText="1"/>
    </xf>
    <xf numFmtId="0" fontId="16" fillId="0" borderId="62" xfId="0" applyFont="1" applyBorder="1" applyAlignment="1">
      <alignment horizontal="left" vertical="top" wrapText="1"/>
    </xf>
    <xf numFmtId="0" fontId="16" fillId="0" borderId="63" xfId="0" applyFont="1" applyBorder="1" applyAlignment="1">
      <alignment horizontal="left" vertical="top" wrapText="1"/>
    </xf>
    <xf numFmtId="0" fontId="16" fillId="2" borderId="52" xfId="0" applyFont="1" applyFill="1" applyBorder="1" applyAlignment="1">
      <alignment horizontal="left" vertical="center" wrapText="1"/>
    </xf>
    <xf numFmtId="0" fontId="16" fillId="2" borderId="53" xfId="0" applyFont="1" applyFill="1" applyBorder="1" applyAlignment="1">
      <alignment horizontal="left" vertical="center" wrapText="1"/>
    </xf>
    <xf numFmtId="0" fontId="16" fillId="2" borderId="54" xfId="0" applyFont="1" applyFill="1" applyBorder="1" applyAlignment="1">
      <alignment horizontal="left" vertical="center" wrapText="1"/>
    </xf>
    <xf numFmtId="0" fontId="16" fillId="0" borderId="32" xfId="0" applyFont="1" applyBorder="1" applyAlignment="1">
      <alignment horizontal="left" vertical="center" wrapText="1"/>
    </xf>
    <xf numFmtId="0" fontId="16" fillId="0" borderId="0" xfId="0" applyFont="1" applyAlignment="1">
      <alignment horizontal="left" vertical="center" wrapText="1"/>
    </xf>
    <xf numFmtId="0" fontId="16" fillId="0" borderId="31" xfId="0" applyFont="1" applyBorder="1" applyAlignment="1">
      <alignment horizontal="left" vertical="center" wrapText="1"/>
    </xf>
    <xf numFmtId="0" fontId="21" fillId="4" borderId="52" xfId="0" applyFont="1" applyFill="1" applyBorder="1" applyAlignment="1">
      <alignment horizontal="center" vertical="center" wrapText="1"/>
    </xf>
    <xf numFmtId="0" fontId="21" fillId="4" borderId="53" xfId="0" applyFont="1" applyFill="1" applyBorder="1" applyAlignment="1">
      <alignment horizontal="center" vertical="center" wrapText="1"/>
    </xf>
    <xf numFmtId="0" fontId="21" fillId="4" borderId="54" xfId="0" applyFont="1" applyFill="1" applyBorder="1" applyAlignment="1">
      <alignment horizontal="center" vertical="center" wrapText="1"/>
    </xf>
    <xf numFmtId="0" fontId="18" fillId="0" borderId="0" xfId="0" applyFont="1" applyAlignment="1">
      <alignment horizontal="center" vertical="top"/>
    </xf>
    <xf numFmtId="0" fontId="18" fillId="0" borderId="31" xfId="0" applyFont="1" applyBorder="1" applyAlignment="1">
      <alignment horizontal="center" vertical="top"/>
    </xf>
    <xf numFmtId="0" fontId="18" fillId="0" borderId="32" xfId="0" applyFont="1" applyBorder="1" applyAlignment="1">
      <alignment horizontal="left" vertical="center" wrapText="1"/>
    </xf>
    <xf numFmtId="0" fontId="18" fillId="0" borderId="0" xfId="0" applyFont="1" applyAlignment="1">
      <alignment horizontal="left" vertical="center" wrapText="1"/>
    </xf>
    <xf numFmtId="0" fontId="18" fillId="0" borderId="31" xfId="0" applyFont="1" applyBorder="1" applyAlignment="1">
      <alignment horizontal="left" vertical="center" wrapText="1"/>
    </xf>
    <xf numFmtId="0" fontId="34" fillId="0" borderId="32" xfId="0" applyFont="1" applyBorder="1" applyAlignment="1">
      <alignment horizontal="left" vertical="center" wrapText="1"/>
    </xf>
    <xf numFmtId="166" fontId="19" fillId="0" borderId="2" xfId="0" applyNumberFormat="1" applyFont="1" applyBorder="1" applyAlignment="1" applyProtection="1">
      <alignment horizontal="right"/>
      <protection locked="0"/>
    </xf>
    <xf numFmtId="166" fontId="19" fillId="0" borderId="11" xfId="0" applyNumberFormat="1" applyFont="1" applyBorder="1" applyAlignment="1" applyProtection="1">
      <alignment horizontal="right"/>
      <protection locked="0"/>
    </xf>
    <xf numFmtId="166" fontId="19" fillId="0" borderId="42" xfId="0" applyNumberFormat="1" applyFont="1" applyBorder="1" applyAlignment="1" applyProtection="1">
      <alignment horizontal="right"/>
      <protection locked="0"/>
    </xf>
    <xf numFmtId="0" fontId="20" fillId="0" borderId="32"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31" xfId="0" applyFont="1" applyBorder="1" applyAlignment="1" applyProtection="1">
      <alignment horizontal="center" vertical="center" wrapText="1"/>
      <protection locked="0"/>
    </xf>
    <xf numFmtId="9" fontId="20" fillId="0" borderId="1" xfId="0" applyNumberFormat="1" applyFont="1" applyBorder="1" applyAlignment="1" applyProtection="1">
      <alignment horizontal="center" vertical="center" wrapText="1"/>
      <protection locked="0"/>
    </xf>
    <xf numFmtId="9" fontId="20" fillId="0" borderId="2" xfId="0" applyNumberFormat="1" applyFont="1" applyBorder="1" applyAlignment="1" applyProtection="1">
      <alignment horizontal="center" vertical="center" wrapText="1"/>
      <protection locked="0"/>
    </xf>
    <xf numFmtId="165" fontId="19" fillId="5" borderId="2" xfId="0" applyNumberFormat="1" applyFont="1" applyFill="1" applyBorder="1" applyAlignment="1">
      <alignment horizontal="center" vertical="center" wrapText="1"/>
    </xf>
    <xf numFmtId="165" fontId="19" fillId="5" borderId="42" xfId="0" applyNumberFormat="1" applyFont="1" applyFill="1" applyBorder="1" applyAlignment="1">
      <alignment horizontal="center" vertical="center" wrapText="1"/>
    </xf>
    <xf numFmtId="0" fontId="37" fillId="0" borderId="44" xfId="0" applyFont="1" applyBorder="1" applyAlignment="1" applyProtection="1">
      <alignment horizontal="left" vertical="center" wrapText="1"/>
      <protection locked="0"/>
    </xf>
    <xf numFmtId="0" fontId="21" fillId="0" borderId="41" xfId="0" applyFont="1" applyBorder="1" applyAlignment="1" applyProtection="1">
      <alignment horizontal="left" vertical="center" wrapText="1"/>
      <protection locked="0"/>
    </xf>
    <xf numFmtId="0" fontId="21" fillId="0" borderId="45" xfId="0" applyFont="1" applyBorder="1" applyAlignment="1" applyProtection="1">
      <alignment horizontal="left" vertical="center" wrapText="1"/>
      <protection locked="0"/>
    </xf>
    <xf numFmtId="0" fontId="16" fillId="0" borderId="52" xfId="0" applyFont="1" applyBorder="1" applyAlignment="1">
      <alignment horizontal="left" vertical="center" wrapText="1"/>
    </xf>
    <xf numFmtId="0" fontId="16" fillId="0" borderId="53" xfId="0" applyFont="1" applyBorder="1" applyAlignment="1">
      <alignment horizontal="left" vertical="center" wrapText="1"/>
    </xf>
    <xf numFmtId="0" fontId="16" fillId="0" borderId="54" xfId="0" applyFont="1" applyBorder="1" applyAlignment="1">
      <alignment horizontal="left" vertical="center" wrapText="1"/>
    </xf>
    <xf numFmtId="0" fontId="21" fillId="4" borderId="38" xfId="0" applyFont="1" applyFill="1" applyBorder="1" applyAlignment="1" applyProtection="1">
      <alignment horizontal="center" vertical="center"/>
      <protection locked="0"/>
    </xf>
    <xf numFmtId="0" fontId="21" fillId="4" borderId="39" xfId="0" applyFont="1" applyFill="1" applyBorder="1" applyAlignment="1" applyProtection="1">
      <alignment horizontal="center" vertical="center"/>
      <protection locked="0"/>
    </xf>
    <xf numFmtId="0" fontId="21" fillId="4" borderId="40" xfId="0" applyFont="1" applyFill="1" applyBorder="1" applyAlignment="1" applyProtection="1">
      <alignment horizontal="center" vertical="center"/>
      <protection locked="0"/>
    </xf>
    <xf numFmtId="0" fontId="18" fillId="0" borderId="49" xfId="0" applyFont="1" applyBorder="1" applyAlignment="1">
      <alignment horizontal="left" vertical="top" wrapText="1"/>
    </xf>
    <xf numFmtId="0" fontId="18" fillId="0" borderId="50" xfId="0" applyFont="1" applyBorder="1" applyAlignment="1">
      <alignment horizontal="left" vertical="top"/>
    </xf>
    <xf numFmtId="0" fontId="18" fillId="0" borderId="51" xfId="0" applyFont="1" applyBorder="1" applyAlignment="1">
      <alignment horizontal="left" vertical="top"/>
    </xf>
    <xf numFmtId="0" fontId="30" fillId="0" borderId="32" xfId="0" applyFont="1" applyBorder="1" applyAlignment="1">
      <alignment horizontal="left" vertical="center" wrapText="1"/>
    </xf>
    <xf numFmtId="0" fontId="30" fillId="0" borderId="46" xfId="0" applyFont="1" applyBorder="1" applyAlignment="1">
      <alignment horizontal="left" vertical="center" wrapText="1"/>
    </xf>
    <xf numFmtId="0" fontId="30" fillId="0" borderId="36" xfId="0" applyFont="1" applyBorder="1" applyAlignment="1">
      <alignment horizontal="left" vertical="top" wrapText="1"/>
    </xf>
    <xf numFmtId="0" fontId="17" fillId="0" borderId="35" xfId="0" applyFont="1" applyBorder="1" applyAlignment="1">
      <alignment horizontal="left" vertical="top" wrapText="1"/>
    </xf>
    <xf numFmtId="0" fontId="17" fillId="0" borderId="37" xfId="0" applyFont="1" applyBorder="1" applyAlignment="1">
      <alignment horizontal="left" vertical="top" wrapText="1"/>
    </xf>
    <xf numFmtId="0" fontId="25" fillId="0" borderId="32" xfId="0" applyFont="1" applyBorder="1" applyAlignment="1">
      <alignment horizontal="left" vertical="center"/>
    </xf>
    <xf numFmtId="0" fontId="25" fillId="0" borderId="0" xfId="0" applyFont="1" applyAlignment="1">
      <alignment horizontal="left" vertical="center"/>
    </xf>
    <xf numFmtId="0" fontId="25" fillId="0" borderId="31" xfId="0" applyFont="1" applyBorder="1" applyAlignment="1">
      <alignment horizontal="left" vertical="center"/>
    </xf>
    <xf numFmtId="0" fontId="21" fillId="4" borderId="47" xfId="0" applyFont="1" applyFill="1" applyBorder="1" applyAlignment="1">
      <alignment horizontal="center" vertical="center" wrapText="1"/>
    </xf>
    <xf numFmtId="0" fontId="23" fillId="0" borderId="0" xfId="0" applyFont="1" applyAlignment="1" applyProtection="1">
      <alignment horizontal="center"/>
      <protection locked="0"/>
    </xf>
    <xf numFmtId="0" fontId="23" fillId="0" borderId="31" xfId="0" applyFont="1" applyBorder="1" applyAlignment="1" applyProtection="1">
      <alignment horizontal="center"/>
      <protection locked="0"/>
    </xf>
    <xf numFmtId="0" fontId="15" fillId="0" borderId="0" xfId="0" applyFont="1" applyAlignment="1" applyProtection="1">
      <alignment horizontal="center" vertical="center"/>
      <protection locked="0"/>
    </xf>
    <xf numFmtId="0" fontId="15" fillId="0" borderId="31" xfId="0" applyFont="1" applyBorder="1" applyAlignment="1" applyProtection="1">
      <alignment horizontal="center" vertical="center"/>
      <protection locked="0"/>
    </xf>
    <xf numFmtId="0" fontId="2" fillId="0" borderId="0" xfId="2" applyFill="1" applyBorder="1" applyAlignment="1" applyProtection="1">
      <alignment horizontal="center" vertical="center"/>
      <protection locked="0"/>
    </xf>
    <xf numFmtId="0" fontId="24" fillId="0" borderId="0" xfId="2" applyFont="1" applyFill="1" applyBorder="1" applyAlignment="1" applyProtection="1">
      <alignment horizontal="center" vertical="center"/>
      <protection locked="0"/>
    </xf>
    <xf numFmtId="0" fontId="24" fillId="0" borderId="31" xfId="2" applyFont="1" applyFill="1" applyBorder="1" applyAlignment="1" applyProtection="1">
      <alignment horizontal="center" vertical="center"/>
      <protection locked="0"/>
    </xf>
    <xf numFmtId="0" fontId="31" fillId="11" borderId="32" xfId="0" applyFont="1" applyFill="1" applyBorder="1" applyAlignment="1">
      <alignment horizontal="center" wrapText="1"/>
    </xf>
    <xf numFmtId="0" fontId="31" fillId="11" borderId="0" xfId="0" applyFont="1" applyFill="1" applyAlignment="1">
      <alignment horizontal="center" wrapText="1"/>
    </xf>
    <xf numFmtId="0" fontId="31" fillId="11" borderId="31" xfId="0" applyFont="1" applyFill="1" applyBorder="1" applyAlignment="1">
      <alignment horizontal="center" wrapText="1"/>
    </xf>
    <xf numFmtId="0" fontId="32" fillId="12" borderId="34" xfId="0" applyFont="1" applyFill="1" applyBorder="1" applyAlignment="1">
      <alignment horizontal="right" vertical="center" wrapText="1"/>
    </xf>
    <xf numFmtId="0" fontId="32" fillId="12" borderId="30" xfId="0" applyFont="1" applyFill="1" applyBorder="1" applyAlignment="1">
      <alignment horizontal="right" vertical="center"/>
    </xf>
    <xf numFmtId="0" fontId="32" fillId="12" borderId="33" xfId="0" applyFont="1" applyFill="1" applyBorder="1" applyAlignment="1">
      <alignment horizontal="right" vertical="center"/>
    </xf>
    <xf numFmtId="0" fontId="22" fillId="0" borderId="0" xfId="0" applyFont="1" applyAlignment="1" applyProtection="1">
      <alignment horizontal="center" vertical="center"/>
      <protection locked="0"/>
    </xf>
    <xf numFmtId="0" fontId="22" fillId="0" borderId="31" xfId="0" applyFont="1" applyBorder="1" applyAlignment="1" applyProtection="1">
      <alignment horizontal="center" vertical="center"/>
      <protection locked="0"/>
    </xf>
    <xf numFmtId="164" fontId="20" fillId="0" borderId="0" xfId="0" applyNumberFormat="1" applyFont="1" applyAlignment="1" applyProtection="1">
      <alignment horizontal="center" vertical="center"/>
      <protection locked="0"/>
    </xf>
    <xf numFmtId="164" fontId="20" fillId="0" borderId="31" xfId="0" applyNumberFormat="1"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36" fillId="2" borderId="32" xfId="0" applyFont="1" applyFill="1" applyBorder="1" applyAlignment="1" applyProtection="1">
      <alignment horizontal="center"/>
      <protection locked="0"/>
    </xf>
    <xf numFmtId="0" fontId="36" fillId="2" borderId="0" xfId="0" applyFont="1" applyFill="1" applyAlignment="1" applyProtection="1">
      <alignment horizontal="center"/>
      <protection locked="0"/>
    </xf>
    <xf numFmtId="0" fontId="36" fillId="2" borderId="31" xfId="0" applyFont="1" applyFill="1" applyBorder="1" applyAlignment="1" applyProtection="1">
      <alignment horizontal="center"/>
      <protection locked="0"/>
    </xf>
    <xf numFmtId="0" fontId="29" fillId="2" borderId="32" xfId="0" applyFont="1" applyFill="1" applyBorder="1" applyAlignment="1" applyProtection="1">
      <alignment horizontal="center"/>
      <protection locked="0"/>
    </xf>
    <xf numFmtId="0" fontId="29" fillId="2" borderId="0" xfId="0" applyFont="1" applyFill="1" applyAlignment="1" applyProtection="1">
      <alignment horizontal="center"/>
      <protection locked="0"/>
    </xf>
    <xf numFmtId="0" fontId="29" fillId="2" borderId="31" xfId="0" applyFont="1" applyFill="1" applyBorder="1" applyAlignment="1" applyProtection="1">
      <alignment horizontal="center"/>
      <protection locked="0"/>
    </xf>
    <xf numFmtId="0" fontId="29" fillId="2" borderId="34" xfId="0" applyFont="1" applyFill="1" applyBorder="1" applyAlignment="1" applyProtection="1">
      <alignment horizontal="center"/>
      <protection locked="0"/>
    </xf>
    <xf numFmtId="0" fontId="29" fillId="2" borderId="30" xfId="0" applyFont="1" applyFill="1" applyBorder="1" applyAlignment="1" applyProtection="1">
      <alignment horizontal="center"/>
      <protection locked="0"/>
    </xf>
    <xf numFmtId="0" fontId="29" fillId="2" borderId="33" xfId="0" applyFont="1" applyFill="1" applyBorder="1" applyAlignment="1" applyProtection="1">
      <alignment horizontal="center"/>
      <protection locked="0"/>
    </xf>
    <xf numFmtId="0" fontId="29" fillId="0" borderId="0" xfId="0" applyFont="1" applyAlignment="1" applyProtection="1">
      <alignment horizontal="center"/>
      <protection locked="0"/>
    </xf>
    <xf numFmtId="0" fontId="33" fillId="2" borderId="32" xfId="0" applyFont="1" applyFill="1" applyBorder="1" applyAlignment="1">
      <alignment horizontal="left" vertical="center" wrapText="1"/>
    </xf>
    <xf numFmtId="0" fontId="18" fillId="2" borderId="0" xfId="0" applyFont="1" applyFill="1" applyAlignment="1">
      <alignment horizontal="left" vertical="center" wrapText="1"/>
    </xf>
    <xf numFmtId="0" fontId="18" fillId="2" borderId="31" xfId="0" applyFont="1" applyFill="1" applyBorder="1" applyAlignment="1">
      <alignment horizontal="left" vertical="center" wrapText="1"/>
    </xf>
    <xf numFmtId="0" fontId="21" fillId="4" borderId="1" xfId="0" applyFont="1" applyFill="1" applyBorder="1" applyAlignment="1" applyProtection="1">
      <alignment horizontal="center" vertical="center" wrapText="1"/>
      <protection locked="0"/>
    </xf>
    <xf numFmtId="0" fontId="21" fillId="4" borderId="2" xfId="0" applyFont="1" applyFill="1" applyBorder="1" applyAlignment="1" applyProtection="1">
      <alignment horizontal="center" vertical="center" wrapText="1"/>
      <protection locked="0"/>
    </xf>
    <xf numFmtId="0" fontId="18" fillId="0" borderId="32" xfId="0" applyFont="1" applyBorder="1"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31" xfId="0" applyFont="1" applyBorder="1" applyAlignment="1" applyProtection="1">
      <alignment horizontal="left" vertical="center" wrapText="1"/>
      <protection locked="0"/>
    </xf>
    <xf numFmtId="0" fontId="4" fillId="0" borderId="74" xfId="4" applyBorder="1" applyAlignment="1">
      <alignment horizontal="left" vertical="center" wrapText="1"/>
    </xf>
    <xf numFmtId="0" fontId="4" fillId="0" borderId="75" xfId="4" applyBorder="1" applyAlignment="1">
      <alignment horizontal="left" vertical="center" wrapText="1"/>
    </xf>
    <xf numFmtId="0" fontId="4" fillId="0" borderId="6" xfId="4" applyBorder="1" applyAlignment="1">
      <alignment horizontal="left" vertical="center" wrapText="1"/>
    </xf>
    <xf numFmtId="0" fontId="4" fillId="0" borderId="0" xfId="4" applyAlignment="1">
      <alignment horizontal="left" vertical="center" wrapText="1"/>
    </xf>
    <xf numFmtId="0" fontId="4" fillId="0" borderId="77" xfId="4" applyBorder="1" applyAlignment="1">
      <alignment horizontal="left" vertical="center" wrapText="1"/>
    </xf>
    <xf numFmtId="0" fontId="4" fillId="0" borderId="71" xfId="4" applyBorder="1" applyAlignment="1">
      <alignment horizontal="left" vertical="center" wrapText="1"/>
    </xf>
    <xf numFmtId="0" fontId="6" fillId="17" borderId="21" xfId="4" applyFont="1" applyFill="1" applyBorder="1" applyAlignment="1">
      <alignment horizontal="center" vertical="center" textRotation="90"/>
    </xf>
    <xf numFmtId="0" fontId="6" fillId="17" borderId="22" xfId="4" applyFont="1" applyFill="1" applyBorder="1" applyAlignment="1">
      <alignment horizontal="center" vertical="center" textRotation="90"/>
    </xf>
    <xf numFmtId="0" fontId="4" fillId="17" borderId="22" xfId="4" applyFill="1" applyBorder="1"/>
    <xf numFmtId="0" fontId="6" fillId="17" borderId="23" xfId="4" applyFont="1" applyFill="1" applyBorder="1" applyAlignment="1">
      <alignment horizontal="center" vertical="center" textRotation="90"/>
    </xf>
    <xf numFmtId="0" fontId="48" fillId="16" borderId="21" xfId="4" applyFont="1" applyFill="1" applyBorder="1" applyAlignment="1">
      <alignment horizontal="center" vertical="center" textRotation="90"/>
    </xf>
    <xf numFmtId="0" fontId="48" fillId="16" borderId="22" xfId="4" applyFont="1" applyFill="1" applyBorder="1" applyAlignment="1">
      <alignment horizontal="center" vertical="center" textRotation="90"/>
    </xf>
    <xf numFmtId="0" fontId="48" fillId="16" borderId="23" xfId="4" applyFont="1" applyFill="1" applyBorder="1" applyAlignment="1">
      <alignment horizontal="center" vertical="center" textRotation="90"/>
    </xf>
    <xf numFmtId="0" fontId="6" fillId="15" borderId="78" xfId="4" applyFont="1" applyFill="1" applyBorder="1" applyAlignment="1">
      <alignment horizontal="center" vertical="center" textRotation="90"/>
    </xf>
    <xf numFmtId="0" fontId="6" fillId="15" borderId="25" xfId="4" applyFont="1" applyFill="1" applyBorder="1" applyAlignment="1">
      <alignment horizontal="center" vertical="center" textRotation="90"/>
    </xf>
    <xf numFmtId="0" fontId="6" fillId="15" borderId="27" xfId="4" applyFont="1" applyFill="1" applyBorder="1" applyAlignment="1">
      <alignment horizontal="center" vertical="center" textRotation="90"/>
    </xf>
    <xf numFmtId="0" fontId="44" fillId="13" borderId="66" xfId="4" applyFont="1" applyFill="1" applyBorder="1" applyAlignment="1">
      <alignment horizontal="center" vertical="center"/>
    </xf>
    <xf numFmtId="0" fontId="44" fillId="13" borderId="67" xfId="4" applyFont="1" applyFill="1" applyBorder="1" applyAlignment="1">
      <alignment horizontal="center" vertical="center"/>
    </xf>
    <xf numFmtId="0" fontId="44" fillId="13" borderId="12" xfId="4" applyFont="1" applyFill="1" applyBorder="1" applyAlignment="1">
      <alignment horizontal="center" vertical="center"/>
    </xf>
    <xf numFmtId="0" fontId="47" fillId="15" borderId="6" xfId="4" applyFont="1" applyFill="1" applyBorder="1" applyAlignment="1">
      <alignment horizontal="center" vertical="center" textRotation="90"/>
    </xf>
    <xf numFmtId="0" fontId="47" fillId="15" borderId="22" xfId="4" applyFont="1" applyFill="1" applyBorder="1" applyAlignment="1">
      <alignment horizontal="center" vertical="center" textRotation="90"/>
    </xf>
    <xf numFmtId="0" fontId="47" fillId="15" borderId="23" xfId="4" applyFont="1" applyFill="1" applyBorder="1" applyAlignment="1">
      <alignment horizontal="center" vertical="center" textRotation="90"/>
    </xf>
    <xf numFmtId="0" fontId="47" fillId="16" borderId="21" xfId="4" applyFont="1" applyFill="1" applyBorder="1" applyAlignment="1">
      <alignment horizontal="center" vertical="center" textRotation="90"/>
    </xf>
    <xf numFmtId="0" fontId="47" fillId="16" borderId="22" xfId="4" applyFont="1" applyFill="1" applyBorder="1" applyAlignment="1">
      <alignment horizontal="center" vertical="center" textRotation="90"/>
    </xf>
    <xf numFmtId="0" fontId="47" fillId="16" borderId="23" xfId="4" applyFont="1" applyFill="1" applyBorder="1" applyAlignment="1">
      <alignment horizontal="center" vertical="center" textRotation="90"/>
    </xf>
    <xf numFmtId="0" fontId="43" fillId="0" borderId="0" xfId="9" applyFont="1" applyAlignment="1">
      <alignment horizontal="left" vertical="center"/>
    </xf>
    <xf numFmtId="0" fontId="41" fillId="0" borderId="0" xfId="9" applyAlignment="1">
      <alignment horizontal="left" vertical="center" wrapText="1"/>
    </xf>
    <xf numFmtId="0" fontId="42" fillId="0" borderId="66" xfId="8" applyFont="1" applyBorder="1" applyAlignment="1">
      <alignment horizontal="center"/>
    </xf>
    <xf numFmtId="0" fontId="42" fillId="0" borderId="67" xfId="8" applyFont="1" applyBorder="1" applyAlignment="1">
      <alignment horizontal="center"/>
    </xf>
    <xf numFmtId="0" fontId="42" fillId="0" borderId="12" xfId="8" applyFont="1" applyBorder="1" applyAlignment="1">
      <alignment horizontal="center"/>
    </xf>
    <xf numFmtId="0" fontId="42" fillId="0" borderId="68" xfId="8" applyFont="1" applyBorder="1" applyAlignment="1">
      <alignment horizontal="center"/>
    </xf>
    <xf numFmtId="0" fontId="42" fillId="0" borderId="0" xfId="8" applyFont="1" applyAlignment="1">
      <alignment horizontal="center"/>
    </xf>
    <xf numFmtId="0" fontId="42" fillId="0" borderId="69" xfId="8" applyFont="1" applyBorder="1" applyAlignment="1">
      <alignment horizontal="center"/>
    </xf>
    <xf numFmtId="0" fontId="42" fillId="0" borderId="70" xfId="8" applyFont="1" applyBorder="1" applyAlignment="1">
      <alignment horizontal="center"/>
    </xf>
    <xf numFmtId="0" fontId="42" fillId="0" borderId="71" xfId="8" applyFont="1" applyBorder="1" applyAlignment="1">
      <alignment horizontal="center"/>
    </xf>
    <xf numFmtId="0" fontId="42" fillId="0" borderId="13" xfId="8" applyFont="1" applyBorder="1" applyAlignment="1">
      <alignment horizontal="center"/>
    </xf>
    <xf numFmtId="0" fontId="43" fillId="0" borderId="66" xfId="8" applyFont="1" applyBorder="1" applyAlignment="1">
      <alignment horizontal="center" vertical="center" wrapText="1"/>
    </xf>
    <xf numFmtId="0" fontId="43" fillId="0" borderId="67" xfId="8" applyFont="1" applyBorder="1" applyAlignment="1">
      <alignment horizontal="center" vertical="center" wrapText="1"/>
    </xf>
    <xf numFmtId="0" fontId="43" fillId="0" borderId="12" xfId="8" applyFont="1" applyBorder="1" applyAlignment="1">
      <alignment horizontal="center" vertical="center" wrapText="1"/>
    </xf>
    <xf numFmtId="0" fontId="43" fillId="0" borderId="68" xfId="8" applyFont="1" applyBorder="1" applyAlignment="1">
      <alignment horizontal="center" vertical="center" wrapText="1"/>
    </xf>
    <xf numFmtId="0" fontId="43" fillId="0" borderId="0" xfId="8" applyFont="1" applyAlignment="1">
      <alignment horizontal="center" vertical="center" wrapText="1"/>
    </xf>
    <xf numFmtId="0" fontId="43" fillId="0" borderId="69" xfId="8" applyFont="1" applyBorder="1" applyAlignment="1">
      <alignment horizontal="center" vertical="center" wrapText="1"/>
    </xf>
    <xf numFmtId="0" fontId="43" fillId="0" borderId="70" xfId="8" applyFont="1" applyBorder="1" applyAlignment="1">
      <alignment horizontal="center" vertical="center" wrapText="1"/>
    </xf>
    <xf numFmtId="0" fontId="43" fillId="0" borderId="71" xfId="8" applyFont="1" applyBorder="1" applyAlignment="1">
      <alignment horizontal="center" vertical="center" wrapText="1"/>
    </xf>
    <xf numFmtId="0" fontId="43" fillId="0" borderId="13" xfId="8" applyFont="1" applyBorder="1" applyAlignment="1">
      <alignment horizontal="center" vertical="center" wrapText="1"/>
    </xf>
    <xf numFmtId="0" fontId="4" fillId="0" borderId="72" xfId="0" quotePrefix="1" applyFont="1" applyBorder="1" applyAlignment="1">
      <alignment horizontal="center" vertical="center"/>
    </xf>
    <xf numFmtId="0" fontId="4" fillId="0" borderId="73" xfId="0" applyFont="1" applyBorder="1" applyAlignment="1">
      <alignment horizontal="center" vertical="center"/>
    </xf>
    <xf numFmtId="0" fontId="4" fillId="0" borderId="14" xfId="0" applyFont="1" applyBorder="1" applyAlignment="1">
      <alignment horizontal="center" vertical="center"/>
    </xf>
    <xf numFmtId="164" fontId="4" fillId="0" borderId="4" xfId="0" applyNumberFormat="1" applyFont="1" applyBorder="1" applyAlignment="1">
      <alignment horizontal="center" vertical="center"/>
    </xf>
    <xf numFmtId="0" fontId="42" fillId="0" borderId="72" xfId="0" quotePrefix="1" applyFont="1" applyBorder="1" applyAlignment="1">
      <alignment horizontal="justify" vertical="top" wrapText="1"/>
    </xf>
    <xf numFmtId="0" fontId="42" fillId="0" borderId="73" xfId="0" applyFont="1" applyBorder="1" applyAlignment="1">
      <alignment horizontal="justify" vertical="top"/>
    </xf>
    <xf numFmtId="0" fontId="42" fillId="0" borderId="14" xfId="0" applyFont="1" applyBorder="1" applyAlignment="1">
      <alignment horizontal="justify" vertical="top"/>
    </xf>
    <xf numFmtId="0" fontId="4" fillId="0" borderId="72" xfId="0" applyFont="1" applyBorder="1" applyAlignment="1">
      <alignment horizontal="center" vertical="center" wrapText="1"/>
    </xf>
    <xf numFmtId="0" fontId="4" fillId="0" borderId="7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4" xfId="0" applyFont="1" applyBorder="1" applyAlignment="1">
      <alignment horizontal="center" vertical="center" wrapText="1"/>
    </xf>
    <xf numFmtId="0" fontId="3" fillId="0" borderId="72" xfId="0" applyFont="1" applyBorder="1" applyAlignment="1">
      <alignment horizontal="center" vertical="center" wrapText="1"/>
    </xf>
    <xf numFmtId="0" fontId="3" fillId="0" borderId="7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2" xfId="0" applyFont="1" applyBorder="1" applyAlignment="1">
      <alignment horizontal="center" vertical="center"/>
    </xf>
    <xf numFmtId="0" fontId="3" fillId="0" borderId="73" xfId="0" applyFont="1" applyBorder="1" applyAlignment="1">
      <alignment horizontal="center" vertical="center"/>
    </xf>
    <xf numFmtId="0" fontId="3" fillId="0" borderId="14" xfId="0" applyFont="1" applyBorder="1" applyAlignment="1">
      <alignment horizontal="center" vertical="center"/>
    </xf>
    <xf numFmtId="0" fontId="3" fillId="0" borderId="4" xfId="0" applyFont="1" applyBorder="1" applyAlignment="1">
      <alignment horizontal="center" vertical="center"/>
    </xf>
    <xf numFmtId="0" fontId="4" fillId="0" borderId="72" xfId="0" applyFont="1" applyBorder="1" applyAlignment="1">
      <alignment horizontal="center" vertical="center"/>
    </xf>
    <xf numFmtId="0" fontId="4" fillId="0" borderId="72" xfId="0" applyFont="1" applyBorder="1" applyAlignment="1">
      <alignment horizontal="left" vertical="top" wrapText="1"/>
    </xf>
    <xf numFmtId="0" fontId="4" fillId="0" borderId="73" xfId="0" applyFont="1" applyBorder="1" applyAlignment="1">
      <alignment horizontal="left" vertical="top"/>
    </xf>
    <xf numFmtId="0" fontId="4" fillId="0" borderId="14" xfId="0" applyFont="1" applyBorder="1" applyAlignment="1">
      <alignment horizontal="left" vertical="top"/>
    </xf>
    <xf numFmtId="0" fontId="4" fillId="0" borderId="73" xfId="0" quotePrefix="1" applyFont="1" applyBorder="1" applyAlignment="1">
      <alignment horizontal="center" vertical="center"/>
    </xf>
    <xf numFmtId="0" fontId="4" fillId="0" borderId="14" xfId="0" quotePrefix="1" applyFont="1" applyBorder="1" applyAlignment="1">
      <alignment horizontal="center" vertical="center"/>
    </xf>
    <xf numFmtId="164" fontId="4" fillId="0" borderId="72" xfId="0" applyNumberFormat="1" applyFont="1" applyBorder="1" applyAlignment="1">
      <alignment horizontal="center" vertical="center"/>
    </xf>
    <xf numFmtId="164" fontId="4" fillId="0" borderId="73" xfId="0" applyNumberFormat="1" applyFont="1" applyBorder="1" applyAlignment="1">
      <alignment horizontal="center" vertical="center"/>
    </xf>
    <xf numFmtId="164" fontId="4" fillId="0" borderId="14" xfId="0" applyNumberFormat="1" applyFont="1" applyBorder="1" applyAlignment="1">
      <alignment horizontal="center" vertical="center"/>
    </xf>
    <xf numFmtId="0" fontId="42" fillId="0" borderId="72" xfId="0" quotePrefix="1" applyFont="1" applyBorder="1" applyAlignment="1">
      <alignment horizontal="left" vertical="top" wrapText="1"/>
    </xf>
    <xf numFmtId="0" fontId="42" fillId="0" borderId="73" xfId="0" quotePrefix="1" applyFont="1" applyBorder="1" applyAlignment="1">
      <alignment horizontal="left" vertical="top" wrapText="1"/>
    </xf>
    <xf numFmtId="0" fontId="42" fillId="0" borderId="14" xfId="0" quotePrefix="1" applyFont="1" applyBorder="1" applyAlignment="1">
      <alignment horizontal="left" vertical="top" wrapText="1"/>
    </xf>
    <xf numFmtId="0" fontId="4" fillId="0" borderId="72" xfId="0" quotePrefix="1" applyFont="1" applyBorder="1" applyAlignment="1">
      <alignment horizontal="justify" vertical="center" wrapText="1"/>
    </xf>
    <xf numFmtId="0" fontId="4" fillId="0" borderId="73"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4" xfId="0" applyFont="1" applyBorder="1" applyAlignment="1">
      <alignment horizontal="center"/>
    </xf>
    <xf numFmtId="0" fontId="4" fillId="0" borderId="72" xfId="0" applyFont="1" applyBorder="1" applyAlignment="1">
      <alignment horizontal="left" vertical="center" wrapText="1"/>
    </xf>
    <xf numFmtId="0" fontId="4" fillId="0" borderId="73" xfId="0" applyFont="1" applyBorder="1" applyAlignment="1">
      <alignment horizontal="left" vertical="center" wrapText="1"/>
    </xf>
    <xf numFmtId="0" fontId="4" fillId="0" borderId="14" xfId="0" applyFont="1" applyBorder="1" applyAlignment="1">
      <alignment horizontal="left" vertical="center" wrapText="1"/>
    </xf>
    <xf numFmtId="0" fontId="6" fillId="10" borderId="21" xfId="4" applyFont="1" applyFill="1" applyBorder="1" applyAlignment="1">
      <alignment horizontal="center" vertical="center" textRotation="90"/>
    </xf>
    <xf numFmtId="0" fontId="6" fillId="10" borderId="22" xfId="4" applyFont="1" applyFill="1" applyBorder="1" applyAlignment="1">
      <alignment horizontal="center" vertical="center" textRotation="90"/>
    </xf>
    <xf numFmtId="0" fontId="4" fillId="10" borderId="22" xfId="4" applyFill="1" applyBorder="1"/>
    <xf numFmtId="0" fontId="6" fillId="10" borderId="23" xfId="4" applyFont="1" applyFill="1" applyBorder="1" applyAlignment="1">
      <alignment horizontal="center" vertical="center" textRotation="90"/>
    </xf>
    <xf numFmtId="0" fontId="44" fillId="13" borderId="72" xfId="4" applyFont="1" applyFill="1" applyBorder="1" applyAlignment="1">
      <alignment horizontal="center" vertical="center"/>
    </xf>
    <xf numFmtId="0" fontId="44" fillId="13" borderId="73" xfId="4" applyFont="1" applyFill="1" applyBorder="1" applyAlignment="1">
      <alignment horizontal="center" vertical="center"/>
    </xf>
    <xf numFmtId="0" fontId="44" fillId="13" borderId="14" xfId="4" applyFont="1" applyFill="1" applyBorder="1" applyAlignment="1">
      <alignment horizontal="center" vertical="center"/>
    </xf>
    <xf numFmtId="0" fontId="7" fillId="6" borderId="24" xfId="4" applyFont="1" applyFill="1" applyBorder="1" applyAlignment="1">
      <alignment horizontal="center" vertical="center" textRotation="90"/>
    </xf>
    <xf numFmtId="0" fontId="7" fillId="6" borderId="26" xfId="4" applyFont="1" applyFill="1" applyBorder="1" applyAlignment="1">
      <alignment horizontal="center" vertical="center" textRotation="90"/>
    </xf>
    <xf numFmtId="0" fontId="7" fillId="7" borderId="24" xfId="4" applyFont="1" applyFill="1" applyBorder="1" applyAlignment="1">
      <alignment horizontal="center" vertical="center" textRotation="90"/>
    </xf>
    <xf numFmtId="0" fontId="7" fillId="7" borderId="26" xfId="4" applyFont="1" applyFill="1" applyBorder="1" applyAlignment="1">
      <alignment horizontal="center" vertical="center" textRotation="90"/>
    </xf>
    <xf numFmtId="0" fontId="6" fillId="8" borderId="21" xfId="4" applyFont="1" applyFill="1" applyBorder="1" applyAlignment="1">
      <alignment horizontal="center" vertical="center" textRotation="90"/>
    </xf>
    <xf numFmtId="0" fontId="6" fillId="8" borderId="22" xfId="4" applyFont="1" applyFill="1" applyBorder="1" applyAlignment="1">
      <alignment horizontal="center" vertical="center" textRotation="90"/>
    </xf>
    <xf numFmtId="0" fontId="6" fillId="8" borderId="23" xfId="4" applyFont="1" applyFill="1" applyBorder="1" applyAlignment="1">
      <alignment horizontal="center" vertical="center" textRotation="90"/>
    </xf>
    <xf numFmtId="0" fontId="6" fillId="9" borderId="24" xfId="4" applyFont="1" applyFill="1" applyBorder="1" applyAlignment="1">
      <alignment horizontal="center" vertical="center" textRotation="90"/>
    </xf>
    <xf numFmtId="0" fontId="6" fillId="9" borderId="25" xfId="4" applyFont="1" applyFill="1" applyBorder="1" applyAlignment="1">
      <alignment horizontal="center" vertical="center" textRotation="90"/>
    </xf>
    <xf numFmtId="0" fontId="6" fillId="9" borderId="27" xfId="4" applyFont="1" applyFill="1" applyBorder="1" applyAlignment="1">
      <alignment horizontal="center" vertical="center" textRotation="90"/>
    </xf>
    <xf numFmtId="14" fontId="22" fillId="0" borderId="0" xfId="0" applyNumberFormat="1" applyFont="1" applyAlignment="1" applyProtection="1">
      <alignment horizontal="center" vertical="center"/>
      <protection locked="0"/>
    </xf>
  </cellXfs>
  <cellStyles count="10">
    <cellStyle name="Hipervínculo" xfId="2" builtinId="8"/>
    <cellStyle name="Moneda" xfId="3" builtinId="4"/>
    <cellStyle name="Moneda [0]" xfId="5" builtinId="7"/>
    <cellStyle name="Moneda [0] 2" xfId="7" xr:uid="{8DBAA7C7-8800-4ED5-8C6F-5A8AF4AE1C3E}"/>
    <cellStyle name="Moneda 2" xfId="6" xr:uid="{755428B5-9B51-4ECC-8180-77975D4709BE}"/>
    <cellStyle name="Normal" xfId="0" builtinId="0"/>
    <cellStyle name="Normal 2" xfId="4" xr:uid="{00000000-0005-0000-0000-000004000000}"/>
    <cellStyle name="Normal 3" xfId="8" xr:uid="{11B5548A-6EE6-423F-8640-541A63185DED}"/>
    <cellStyle name="Normal 3 2" xfId="9" xr:uid="{BB08E81F-076D-4B8C-941C-1DCC7ED9AA75}"/>
    <cellStyle name="Porcentaje" xfId="1" builtinId="5"/>
  </cellStyles>
  <dxfs count="2">
    <dxf>
      <font>
        <color theme="0"/>
      </font>
      <fill>
        <patternFill patternType="none">
          <bgColor auto="1"/>
        </patternFill>
      </fill>
      <border>
        <left/>
        <right/>
        <top style="thin">
          <color auto="1"/>
        </top>
        <bottom/>
      </border>
    </dxf>
    <dxf>
      <font>
        <color theme="0"/>
      </font>
      <fill>
        <patternFill patternType="none">
          <bgColor auto="1"/>
        </patternFill>
      </fill>
      <border>
        <top style="thin">
          <color auto="1"/>
        </top>
        <vertical/>
        <horizontal/>
      </border>
    </dxf>
  </dxfs>
  <tableStyles count="0" defaultTableStyle="TableStyleMedium2" defaultPivotStyle="PivotStyleLight16"/>
  <colors>
    <mruColors>
      <color rgb="FFF8B2DF"/>
      <color rgb="FFC82308"/>
      <color rgb="FFC808BA"/>
      <color rgb="FFCCFF99"/>
      <color rgb="FFB068E6"/>
      <color rgb="FFE9D8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jpe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1304925</xdr:colOff>
      <xdr:row>0</xdr:row>
      <xdr:rowOff>161925</xdr:rowOff>
    </xdr:from>
    <xdr:to>
      <xdr:col>7</xdr:col>
      <xdr:colOff>857250</xdr:colOff>
      <xdr:row>0</xdr:row>
      <xdr:rowOff>1076325</xdr:rowOff>
    </xdr:to>
    <xdr:pic>
      <xdr:nvPicPr>
        <xdr:cNvPr id="8" name="Imagen 4">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831" t="6594" r="19014" b="8421"/>
        <a:stretch/>
      </xdr:blipFill>
      <xdr:spPr>
        <a:xfrm>
          <a:off x="11658600" y="390525"/>
          <a:ext cx="981075" cy="914400"/>
        </a:xfrm>
        <a:prstGeom prst="rect">
          <a:avLst/>
        </a:prstGeom>
      </xdr:spPr>
    </xdr:pic>
    <xdr:clientData/>
  </xdr:twoCellAnchor>
  <xdr:twoCellAnchor editAs="oneCell">
    <xdr:from>
      <xdr:col>6</xdr:col>
      <xdr:colOff>447675</xdr:colOff>
      <xdr:row>0</xdr:row>
      <xdr:rowOff>238125</xdr:rowOff>
    </xdr:from>
    <xdr:to>
      <xdr:col>6</xdr:col>
      <xdr:colOff>1182532</xdr:colOff>
      <xdr:row>0</xdr:row>
      <xdr:rowOff>960320</xdr:rowOff>
    </xdr:to>
    <xdr:pic>
      <xdr:nvPicPr>
        <xdr:cNvPr id="6" name="Imagen 5">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01350" y="466725"/>
          <a:ext cx="734857" cy="722195"/>
        </a:xfrm>
        <a:prstGeom prst="rect">
          <a:avLst/>
        </a:prstGeom>
      </xdr:spPr>
    </xdr:pic>
    <xdr:clientData/>
  </xdr:twoCellAnchor>
  <xdr:twoCellAnchor editAs="oneCell">
    <xdr:from>
      <xdr:col>4</xdr:col>
      <xdr:colOff>2581275</xdr:colOff>
      <xdr:row>0</xdr:row>
      <xdr:rowOff>114300</xdr:rowOff>
    </xdr:from>
    <xdr:to>
      <xdr:col>6</xdr:col>
      <xdr:colOff>247650</xdr:colOff>
      <xdr:row>0</xdr:row>
      <xdr:rowOff>1019175</xdr:rowOff>
    </xdr:to>
    <xdr:pic>
      <xdr:nvPicPr>
        <xdr:cNvPr id="2" name="Imagen 1">
          <a:extLst>
            <a:ext uri="{FF2B5EF4-FFF2-40B4-BE49-F238E27FC236}">
              <a16:creationId xmlns:a16="http://schemas.microsoft.com/office/drawing/2014/main" id="{13976151-9F4E-CB0E-DA69-23D152E46CA4}"/>
            </a:ext>
            <a:ext uri="{147F2762-F138-4A5C-976F-8EAC2B608ADB}">
              <a16:predDERef xmlns:a16="http://schemas.microsoft.com/office/drawing/2014/main" pred="{00000000-0008-0000-0000-000003000000}"/>
            </a:ext>
          </a:extLst>
        </xdr:cNvPr>
        <xdr:cNvPicPr>
          <a:picLocks noChangeAspect="1"/>
        </xdr:cNvPicPr>
      </xdr:nvPicPr>
      <xdr:blipFill>
        <a:blip xmlns:r="http://schemas.openxmlformats.org/officeDocument/2006/relationships" r:embed="rId3"/>
        <a:stretch>
          <a:fillRect/>
        </a:stretch>
      </xdr:blipFill>
      <xdr:spPr>
        <a:xfrm>
          <a:off x="9096375" y="342900"/>
          <a:ext cx="1504950" cy="904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171450</xdr:colOff>
      <xdr:row>0</xdr:row>
      <xdr:rowOff>76199</xdr:rowOff>
    </xdr:from>
    <xdr:to>
      <xdr:col>8</xdr:col>
      <xdr:colOff>1266825</xdr:colOff>
      <xdr:row>3</xdr:row>
      <xdr:rowOff>323849</xdr:rowOff>
    </xdr:to>
    <xdr:pic>
      <xdr:nvPicPr>
        <xdr:cNvPr id="4" name="Imagen 3">
          <a:extLst>
            <a:ext uri="{FF2B5EF4-FFF2-40B4-BE49-F238E27FC236}">
              <a16:creationId xmlns:a16="http://schemas.microsoft.com/office/drawing/2014/main" id="{3B8BBE76-0370-78B1-7F1D-D5B098DD57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209" t="6779" r="15145" b="6779"/>
        <a:stretch/>
      </xdr:blipFill>
      <xdr:spPr>
        <a:xfrm>
          <a:off x="9239250" y="76199"/>
          <a:ext cx="1095375" cy="1323975"/>
        </a:xfrm>
        <a:prstGeom prst="rect">
          <a:avLst/>
        </a:prstGeom>
      </xdr:spPr>
    </xdr:pic>
    <xdr:clientData/>
  </xdr:twoCellAnchor>
  <xdr:twoCellAnchor editAs="oneCell">
    <xdr:from>
      <xdr:col>6</xdr:col>
      <xdr:colOff>539002</xdr:colOff>
      <xdr:row>0</xdr:row>
      <xdr:rowOff>100853</xdr:rowOff>
    </xdr:from>
    <xdr:to>
      <xdr:col>8</xdr:col>
      <xdr:colOff>66675</xdr:colOff>
      <xdr:row>3</xdr:row>
      <xdr:rowOff>167527</xdr:rowOff>
    </xdr:to>
    <xdr:pic>
      <xdr:nvPicPr>
        <xdr:cNvPr id="2" name="Imagen 1" descr="Inicio - Universidad Santiago de Cali">
          <a:extLst>
            <a:ext uri="{FF2B5EF4-FFF2-40B4-BE49-F238E27FC236}">
              <a16:creationId xmlns:a16="http://schemas.microsoft.com/office/drawing/2014/main" id="{9F3480FE-CD1C-EDC8-FDA6-22EEA631B99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2963"/>
        <a:stretch/>
      </xdr:blipFill>
      <xdr:spPr bwMode="auto">
        <a:xfrm>
          <a:off x="8640855" y="100853"/>
          <a:ext cx="1355351" cy="1142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818029</xdr:colOff>
      <xdr:row>0</xdr:row>
      <xdr:rowOff>134469</xdr:rowOff>
    </xdr:from>
    <xdr:to>
      <xdr:col>5</xdr:col>
      <xdr:colOff>376953</xdr:colOff>
      <xdr:row>2</xdr:row>
      <xdr:rowOff>232520</xdr:rowOff>
    </xdr:to>
    <xdr:pic>
      <xdr:nvPicPr>
        <xdr:cNvPr id="3" name="Imagen 2">
          <a:extLst>
            <a:ext uri="{FF2B5EF4-FFF2-40B4-BE49-F238E27FC236}">
              <a16:creationId xmlns:a16="http://schemas.microsoft.com/office/drawing/2014/main" id="{5DC35744-212F-4B04-AC99-1362A8F9EB6E}"/>
            </a:ext>
            <a:ext uri="{147F2762-F138-4A5C-976F-8EAC2B608ADB}">
              <a16:predDERef xmlns:a16="http://schemas.microsoft.com/office/drawing/2014/main" pred="{00000000-0008-0000-0000-000003000000}"/>
            </a:ext>
          </a:extLst>
        </xdr:cNvPr>
        <xdr:cNvPicPr>
          <a:picLocks noChangeAspect="1"/>
        </xdr:cNvPicPr>
      </xdr:nvPicPr>
      <xdr:blipFill>
        <a:blip xmlns:r="http://schemas.openxmlformats.org/officeDocument/2006/relationships" r:embed="rId3"/>
        <a:stretch>
          <a:fillRect/>
        </a:stretch>
      </xdr:blipFill>
      <xdr:spPr>
        <a:xfrm>
          <a:off x="6264088" y="134469"/>
          <a:ext cx="1497541" cy="904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172508</xdr:colOff>
      <xdr:row>1</xdr:row>
      <xdr:rowOff>14819</xdr:rowOff>
    </xdr:from>
    <xdr:to>
      <xdr:col>7</xdr:col>
      <xdr:colOff>161170</xdr:colOff>
      <xdr:row>6</xdr:row>
      <xdr:rowOff>110414</xdr:rowOff>
    </xdr:to>
    <xdr:pic>
      <xdr:nvPicPr>
        <xdr:cNvPr id="2" name="Imagen 4">
          <a:extLst>
            <a:ext uri="{FF2B5EF4-FFF2-40B4-BE49-F238E27FC236}">
              <a16:creationId xmlns:a16="http://schemas.microsoft.com/office/drawing/2014/main" id="{E82796D9-496C-4225-947A-94C059E67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5858" y="195794"/>
          <a:ext cx="1245962" cy="1048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19050</xdr:colOff>
      <xdr:row>0</xdr:row>
      <xdr:rowOff>76199</xdr:rowOff>
    </xdr:from>
    <xdr:to>
      <xdr:col>6</xdr:col>
      <xdr:colOff>1114425</xdr:colOff>
      <xdr:row>3</xdr:row>
      <xdr:rowOff>323849</xdr:rowOff>
    </xdr:to>
    <xdr:pic>
      <xdr:nvPicPr>
        <xdr:cNvPr id="2" name="Imagen 1">
          <a:extLst>
            <a:ext uri="{FF2B5EF4-FFF2-40B4-BE49-F238E27FC236}">
              <a16:creationId xmlns:a16="http://schemas.microsoft.com/office/drawing/2014/main" id="{80EFC751-DEF3-433F-B537-0A386FECA29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209" t="6779" r="15145" b="6779"/>
        <a:stretch/>
      </xdr:blipFill>
      <xdr:spPr>
        <a:xfrm>
          <a:off x="7800975" y="76199"/>
          <a:ext cx="1095375" cy="1323975"/>
        </a:xfrm>
        <a:prstGeom prst="rect">
          <a:avLst/>
        </a:prstGeom>
      </xdr:spPr>
    </xdr:pic>
    <xdr:clientData/>
  </xdr:twoCellAnchor>
  <xdr:twoCellAnchor editAs="oneCell">
    <xdr:from>
      <xdr:col>7</xdr:col>
      <xdr:colOff>0</xdr:colOff>
      <xdr:row>0</xdr:row>
      <xdr:rowOff>123825</xdr:rowOff>
    </xdr:from>
    <xdr:to>
      <xdr:col>7</xdr:col>
      <xdr:colOff>1352550</xdr:colOff>
      <xdr:row>3</xdr:row>
      <xdr:rowOff>333375</xdr:rowOff>
    </xdr:to>
    <xdr:pic>
      <xdr:nvPicPr>
        <xdr:cNvPr id="3" name="Imagen 2" descr="Inicio - Universidad Santiago de Cali">
          <a:extLst>
            <a:ext uri="{FF2B5EF4-FFF2-40B4-BE49-F238E27FC236}">
              <a16:creationId xmlns:a16="http://schemas.microsoft.com/office/drawing/2014/main" id="{883A6204-EB89-458C-A066-A432EFE8EE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67800" y="123825"/>
          <a:ext cx="1352550"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david.rendon@aldeasinfantiles.org.co" TargetMode="External"/><Relationship Id="rId2" Type="http://schemas.openxmlformats.org/officeDocument/2006/relationships/hyperlink" Target="https://apps.usc.edu.co/" TargetMode="External"/><Relationship Id="rId1" Type="http://schemas.openxmlformats.org/officeDocument/2006/relationships/hyperlink" Target="https://pqrs.usc.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8B2DF"/>
  </sheetPr>
  <dimension ref="A1:U936"/>
  <sheetViews>
    <sheetView tabSelected="1" topLeftCell="A5" zoomScale="90" zoomScaleNormal="90" zoomScalePageLayoutView="90" workbookViewId="0">
      <selection activeCell="I54" sqref="I54"/>
    </sheetView>
  </sheetViews>
  <sheetFormatPr baseColWidth="10" defaultColWidth="14.42578125" defaultRowHeight="15" customHeight="1"/>
  <cols>
    <col min="1" max="1" width="36.42578125" style="100" customWidth="1"/>
    <col min="2" max="2" width="27.5703125" style="45" customWidth="1"/>
    <col min="3" max="3" width="23.5703125" style="45" customWidth="1"/>
    <col min="4" max="4" width="10.140625" style="45" customWidth="1"/>
    <col min="5" max="5" width="42.28515625" style="45" customWidth="1"/>
    <col min="6" max="6" width="15.28515625" style="45" customWidth="1"/>
    <col min="7" max="7" width="21.42578125" style="45" customWidth="1"/>
    <col min="8" max="8" width="18" style="45" customWidth="1"/>
    <col min="9" max="9" width="31.7109375" style="45" customWidth="1"/>
    <col min="10" max="10" width="14.85546875" style="45" customWidth="1"/>
    <col min="11" max="11" width="6.42578125" style="45" customWidth="1"/>
    <col min="12" max="13" width="10.7109375" style="45" hidden="1" customWidth="1"/>
    <col min="14" max="21" width="10.7109375" style="45" customWidth="1"/>
    <col min="22" max="16384" width="14.42578125" style="45"/>
  </cols>
  <sheetData>
    <row r="1" spans="1:11" ht="93.75" customHeight="1">
      <c r="A1" s="183" t="s">
        <v>0</v>
      </c>
      <c r="B1" s="184"/>
      <c r="C1" s="184"/>
      <c r="D1" s="184"/>
      <c r="E1" s="184"/>
      <c r="F1" s="184"/>
      <c r="G1" s="184"/>
      <c r="H1" s="185"/>
      <c r="J1" s="46"/>
      <c r="K1" s="46"/>
    </row>
    <row r="2" spans="1:11" ht="22.5" customHeight="1">
      <c r="A2" s="197" t="s">
        <v>1</v>
      </c>
      <c r="B2" s="198"/>
      <c r="C2" s="198"/>
      <c r="D2" s="198"/>
      <c r="E2" s="198"/>
      <c r="F2" s="198"/>
      <c r="G2" s="198"/>
      <c r="H2" s="199"/>
      <c r="I2" s="47"/>
      <c r="J2" s="46"/>
      <c r="K2" s="46"/>
    </row>
    <row r="3" spans="1:11" ht="22.5" customHeight="1">
      <c r="A3" s="200" t="s">
        <v>244</v>
      </c>
      <c r="B3" s="201"/>
      <c r="C3" s="201"/>
      <c r="D3" s="201"/>
      <c r="E3" s="201"/>
      <c r="F3" s="201"/>
      <c r="G3" s="201"/>
      <c r="H3" s="202"/>
      <c r="I3" s="47"/>
      <c r="J3" s="46"/>
      <c r="K3" s="46"/>
    </row>
    <row r="4" spans="1:11" ht="33">
      <c r="A4" s="186" t="s">
        <v>2</v>
      </c>
      <c r="B4" s="187"/>
      <c r="C4" s="187"/>
      <c r="D4" s="187"/>
      <c r="E4" s="187"/>
      <c r="F4" s="187"/>
      <c r="G4" s="187"/>
      <c r="H4" s="188"/>
      <c r="I4" s="47"/>
    </row>
    <row r="5" spans="1:11" ht="14.25" customHeight="1">
      <c r="A5" s="96" t="s">
        <v>3</v>
      </c>
      <c r="B5" s="326" t="s">
        <v>391</v>
      </c>
      <c r="C5" s="203"/>
      <c r="D5" s="203"/>
      <c r="E5" s="203"/>
      <c r="F5" s="203"/>
      <c r="G5" s="203"/>
      <c r="H5" s="204"/>
      <c r="I5" s="47"/>
      <c r="J5" s="48"/>
    </row>
    <row r="6" spans="1:11" ht="16.5" customHeight="1">
      <c r="A6" s="96" t="s">
        <v>4</v>
      </c>
      <c r="B6" s="205">
        <v>46056</v>
      </c>
      <c r="C6" s="205"/>
      <c r="D6" s="205"/>
      <c r="E6" s="205"/>
      <c r="F6" s="205"/>
      <c r="G6" s="205"/>
      <c r="H6" s="206"/>
      <c r="I6" s="47"/>
      <c r="J6" s="48"/>
    </row>
    <row r="7" spans="1:11" ht="13.5" customHeight="1">
      <c r="A7" s="97" t="s">
        <v>5</v>
      </c>
      <c r="B7" s="192" t="s">
        <v>392</v>
      </c>
      <c r="C7" s="192"/>
      <c r="D7" s="192"/>
      <c r="E7" s="60" t="s">
        <v>6</v>
      </c>
      <c r="F7" s="190" t="s">
        <v>397</v>
      </c>
      <c r="G7" s="190"/>
      <c r="H7" s="191"/>
      <c r="I7" s="47"/>
      <c r="J7" s="48"/>
    </row>
    <row r="8" spans="1:11" ht="17.25" customHeight="1">
      <c r="A8" s="97" t="s">
        <v>7</v>
      </c>
      <c r="B8" s="207" t="s">
        <v>393</v>
      </c>
      <c r="C8" s="207"/>
      <c r="D8" s="207"/>
      <c r="E8" s="60" t="s">
        <v>8</v>
      </c>
      <c r="F8" s="192" t="s">
        <v>396</v>
      </c>
      <c r="G8" s="192"/>
      <c r="H8" s="193"/>
      <c r="I8" s="47"/>
      <c r="J8" s="48"/>
    </row>
    <row r="9" spans="1:11" ht="16.5" customHeight="1">
      <c r="A9" s="97" t="s">
        <v>9</v>
      </c>
      <c r="B9" s="192" t="s">
        <v>394</v>
      </c>
      <c r="C9" s="192"/>
      <c r="D9" s="192"/>
      <c r="E9" s="60" t="s">
        <v>10</v>
      </c>
      <c r="F9" s="194" t="s">
        <v>395</v>
      </c>
      <c r="G9" s="195"/>
      <c r="H9" s="196"/>
      <c r="I9" s="47"/>
      <c r="J9" s="48"/>
    </row>
    <row r="10" spans="1:11" ht="6.75" customHeight="1">
      <c r="A10" s="98"/>
      <c r="H10" s="61"/>
    </row>
    <row r="11" spans="1:11" ht="30" customHeight="1">
      <c r="A11" s="70" t="s">
        <v>11</v>
      </c>
      <c r="B11" s="71" t="s">
        <v>12</v>
      </c>
      <c r="C11" s="189" t="s">
        <v>13</v>
      </c>
      <c r="D11" s="189"/>
      <c r="E11" s="71" t="s">
        <v>14</v>
      </c>
      <c r="F11" s="71" t="s">
        <v>15</v>
      </c>
      <c r="G11" s="71" t="s">
        <v>16</v>
      </c>
      <c r="H11" s="72" t="s">
        <v>17</v>
      </c>
    </row>
    <row r="12" spans="1:11" ht="78.75">
      <c r="A12" s="62" t="s">
        <v>68</v>
      </c>
      <c r="B12" s="53" t="s">
        <v>390</v>
      </c>
      <c r="C12" s="113" t="str">
        <f>IF(B12="","",VLOOKUP(A12,Tarifas!$C$7:$G$108,2,FALSE))</f>
        <v xml:space="preserve">Temperatura </v>
      </c>
      <c r="D12" s="113"/>
      <c r="E12" s="54" t="str">
        <f>IF(B12="","",VLOOKUP(A12,Tarifas!$C$7:$E$108,3,FALSE))</f>
        <v>Procedimiento TH-001 para la calibración de termómetros digitales (de lectura directa) por comparación, Centro Español de Metrología, edición digital 2.2021</v>
      </c>
      <c r="F12" s="53">
        <v>4</v>
      </c>
      <c r="G12" s="55">
        <f>IF(B12="","",VLOOKUP(A12,Tarifas!$C$7:$H$107,6,FALSE))</f>
        <v>156600</v>
      </c>
      <c r="H12" s="63">
        <f>IF(B12="","",G12*F12)</f>
        <v>626400</v>
      </c>
    </row>
    <row r="13" spans="1:11" ht="15.75" hidden="1">
      <c r="A13" s="62"/>
      <c r="B13" s="53"/>
      <c r="C13" s="113" t="str">
        <f>IF(B13="","",VLOOKUP(A13,Tarifas!$C$8:$G$107,2,FALSE))</f>
        <v/>
      </c>
      <c r="D13" s="113"/>
      <c r="E13" s="54" t="str">
        <f>IF(B13="","",VLOOKUP(A13,Tarifas!$C$7:$E$108,3,FALSE))</f>
        <v/>
      </c>
      <c r="F13" s="53"/>
      <c r="G13" s="55" t="str">
        <f>IF(B13="","",VLOOKUP(A13,Tarifas!$C$6:$H$107,6,FALSE))</f>
        <v/>
      </c>
      <c r="H13" s="63" t="str">
        <f t="shared" ref="H13:H47" si="0">IF(B13="","",G13*F13)</f>
        <v/>
      </c>
    </row>
    <row r="14" spans="1:11" ht="15.75" hidden="1">
      <c r="A14" s="62"/>
      <c r="B14" s="53"/>
      <c r="C14" s="113" t="str">
        <f>IF(B14="","",VLOOKUP(A14,Tarifas!$C$8:$G$107,2,FALSE))</f>
        <v/>
      </c>
      <c r="D14" s="113"/>
      <c r="E14" s="54" t="str">
        <f>IF(B14="","",VLOOKUP(A14,Tarifas!$C$7:$E$108,3,FALSE))</f>
        <v/>
      </c>
      <c r="F14" s="53"/>
      <c r="G14" s="55" t="str">
        <f>IF(B14="","",VLOOKUP(A14,Tarifas!$C$6:$H$107,6,FALSE))</f>
        <v/>
      </c>
      <c r="H14" s="63" t="str">
        <f t="shared" si="0"/>
        <v/>
      </c>
    </row>
    <row r="15" spans="1:11" ht="15.75" hidden="1">
      <c r="A15" s="62"/>
      <c r="B15" s="53"/>
      <c r="C15" s="113" t="str">
        <f>IF(B15="","",VLOOKUP(A15,Tarifas!$C$8:$G$107,2,FALSE))</f>
        <v/>
      </c>
      <c r="D15" s="113"/>
      <c r="E15" s="54" t="str">
        <f>IF(B15="","",VLOOKUP(A15,Tarifas!$C$7:$E$108,3,FALSE))</f>
        <v/>
      </c>
      <c r="F15" s="53"/>
      <c r="G15" s="55" t="str">
        <f>IF(B15="","",VLOOKUP(A15,Tarifas!$C$6:$H$107,6,FALSE))</f>
        <v/>
      </c>
      <c r="H15" s="63" t="str">
        <f t="shared" si="0"/>
        <v/>
      </c>
    </row>
    <row r="16" spans="1:11" ht="15.75" hidden="1">
      <c r="A16" s="62"/>
      <c r="B16" s="53"/>
      <c r="C16" s="113" t="str">
        <f>IF(B16="","",VLOOKUP(A16,Tarifas!$C$8:$G$107,2,FALSE))</f>
        <v/>
      </c>
      <c r="D16" s="113"/>
      <c r="E16" s="54" t="str">
        <f>IF(B16="","",VLOOKUP(A16,Tarifas!$C$7:$E$108,3,FALSE))</f>
        <v/>
      </c>
      <c r="F16" s="53"/>
      <c r="G16" s="55" t="str">
        <f>IF(B16="","",VLOOKUP(A16,Tarifas!$C$6:$H$107,6,FALSE))</f>
        <v/>
      </c>
      <c r="H16" s="63" t="str">
        <f t="shared" si="0"/>
        <v/>
      </c>
    </row>
    <row r="17" spans="1:8" ht="15.75" hidden="1">
      <c r="A17" s="62"/>
      <c r="B17" s="53"/>
      <c r="C17" s="113" t="str">
        <f>IF(B17="","",VLOOKUP(A17,Tarifas!$C$8:$G$107,2,FALSE))</f>
        <v/>
      </c>
      <c r="D17" s="113"/>
      <c r="E17" s="54" t="str">
        <f>IF(B17="","",VLOOKUP(A17,Tarifas!$C$7:$E$108,3,FALSE))</f>
        <v/>
      </c>
      <c r="F17" s="53"/>
      <c r="G17" s="55" t="str">
        <f>IF(B17="","",VLOOKUP(A17,Tarifas!$C$6:$H$107,6,FALSE))</f>
        <v/>
      </c>
      <c r="H17" s="63" t="str">
        <f t="shared" si="0"/>
        <v/>
      </c>
    </row>
    <row r="18" spans="1:8" ht="15.75" hidden="1">
      <c r="A18" s="62"/>
      <c r="B18" s="53"/>
      <c r="C18" s="113" t="str">
        <f>IF(B18="","",VLOOKUP(A18,Tarifas!$C$8:$G$107,2,FALSE))</f>
        <v/>
      </c>
      <c r="D18" s="113"/>
      <c r="E18" s="54" t="str">
        <f>IF(B18="","",VLOOKUP(A18,Tarifas!$C$7:$E$108,3,FALSE))</f>
        <v/>
      </c>
      <c r="F18" s="53"/>
      <c r="G18" s="55" t="str">
        <f>IF(B18="","",VLOOKUP(A18,Tarifas!$C$6:$H$107,6,FALSE))</f>
        <v/>
      </c>
      <c r="H18" s="63" t="str">
        <f t="shared" si="0"/>
        <v/>
      </c>
    </row>
    <row r="19" spans="1:8" ht="15.75" hidden="1">
      <c r="A19" s="62"/>
      <c r="B19" s="53"/>
      <c r="C19" s="113" t="str">
        <f>IF(B19="","",VLOOKUP(A19,Tarifas!$C$8:$G$107,2,FALSE))</f>
        <v/>
      </c>
      <c r="D19" s="113"/>
      <c r="E19" s="54" t="str">
        <f>IF(B19="","",VLOOKUP(A19,Tarifas!$C$7:$E$108,3,FALSE))</f>
        <v/>
      </c>
      <c r="F19" s="53"/>
      <c r="G19" s="55" t="str">
        <f>IF(B19="","",VLOOKUP(A19,Tarifas!$C$6:$H$107,6,FALSE))</f>
        <v/>
      </c>
      <c r="H19" s="63" t="str">
        <f t="shared" si="0"/>
        <v/>
      </c>
    </row>
    <row r="20" spans="1:8" ht="15.75" hidden="1">
      <c r="A20" s="62"/>
      <c r="B20" s="53"/>
      <c r="C20" s="113" t="str">
        <f>IF(B20="","",VLOOKUP(A20,Tarifas!$C$8:$G$107,2,FALSE))</f>
        <v/>
      </c>
      <c r="D20" s="113"/>
      <c r="E20" s="54" t="str">
        <f>IF(B20="","",VLOOKUP(A20,Tarifas!$C$7:$E$108,3,FALSE))</f>
        <v/>
      </c>
      <c r="F20" s="53"/>
      <c r="G20" s="55" t="str">
        <f>IF(B20="","",VLOOKUP(A20,Tarifas!$C$6:$H$107,6,FALSE))</f>
        <v/>
      </c>
      <c r="H20" s="63" t="str">
        <f t="shared" si="0"/>
        <v/>
      </c>
    </row>
    <row r="21" spans="1:8" ht="15.75" hidden="1">
      <c r="A21" s="62"/>
      <c r="B21" s="53"/>
      <c r="C21" s="113" t="str">
        <f>IF(B21="","",VLOOKUP(A21,Tarifas!$C$8:$G$107,2,FALSE))</f>
        <v/>
      </c>
      <c r="D21" s="113"/>
      <c r="E21" s="54" t="str">
        <f>IF(B21="","",VLOOKUP(A21,Tarifas!$C$7:$E$108,3,FALSE))</f>
        <v/>
      </c>
      <c r="F21" s="53"/>
      <c r="G21" s="55" t="str">
        <f>IF(B21="","",VLOOKUP(A21,Tarifas!$C$6:$H$107,6,FALSE))</f>
        <v/>
      </c>
      <c r="H21" s="63" t="str">
        <f t="shared" si="0"/>
        <v/>
      </c>
    </row>
    <row r="22" spans="1:8" ht="15.75" hidden="1">
      <c r="A22" s="62"/>
      <c r="B22" s="53"/>
      <c r="C22" s="113" t="str">
        <f>IF(B22="","",VLOOKUP(A22,Tarifas!$C$8:$G$107,2,FALSE))</f>
        <v/>
      </c>
      <c r="D22" s="113"/>
      <c r="E22" s="54" t="str">
        <f>IF(B22="","",VLOOKUP(A22,Tarifas!$C$7:$E$108,3,FALSE))</f>
        <v/>
      </c>
      <c r="F22" s="53"/>
      <c r="G22" s="55" t="str">
        <f>IF(B22="","",VLOOKUP(A22,Tarifas!$C$6:$H$107,6,FALSE))</f>
        <v/>
      </c>
      <c r="H22" s="63" t="str">
        <f t="shared" si="0"/>
        <v/>
      </c>
    </row>
    <row r="23" spans="1:8" ht="15.75" hidden="1">
      <c r="A23" s="62"/>
      <c r="B23" s="53"/>
      <c r="C23" s="113" t="str">
        <f>IF(B23="","",VLOOKUP(A23,Tarifas!$C$8:$G$107,2,FALSE))</f>
        <v/>
      </c>
      <c r="D23" s="113"/>
      <c r="E23" s="54" t="str">
        <f>IF(B23="","",VLOOKUP(A23,Tarifas!$C$7:$E$108,3,FALSE))</f>
        <v/>
      </c>
      <c r="F23" s="53"/>
      <c r="G23" s="55" t="str">
        <f>IF(B23="","",VLOOKUP(A23,Tarifas!$C$6:$H$107,6,FALSE))</f>
        <v/>
      </c>
      <c r="H23" s="63" t="str">
        <f t="shared" si="0"/>
        <v/>
      </c>
    </row>
    <row r="24" spans="1:8" ht="15.75" hidden="1">
      <c r="A24" s="62"/>
      <c r="B24" s="53"/>
      <c r="C24" s="113" t="str">
        <f>IF(B24="","",VLOOKUP(A24,Tarifas!$C$8:$G$107,2,FALSE))</f>
        <v/>
      </c>
      <c r="D24" s="113"/>
      <c r="E24" s="54" t="str">
        <f>IF(B24="","",VLOOKUP(A24,Tarifas!$C$7:$E$108,3,FALSE))</f>
        <v/>
      </c>
      <c r="F24" s="53"/>
      <c r="G24" s="55" t="str">
        <f>IF(B24="","",VLOOKUP(A24,Tarifas!$C$6:$H$107,6,FALSE))</f>
        <v/>
      </c>
      <c r="H24" s="63" t="str">
        <f t="shared" si="0"/>
        <v/>
      </c>
    </row>
    <row r="25" spans="1:8" ht="15.75" hidden="1">
      <c r="A25" s="62"/>
      <c r="B25" s="53"/>
      <c r="C25" s="113" t="str">
        <f>IF(B25="","",VLOOKUP(A25,Tarifas!$C$8:$G$107,2,FALSE))</f>
        <v/>
      </c>
      <c r="D25" s="113"/>
      <c r="E25" s="54" t="str">
        <f>IF(B25="","",VLOOKUP(A25,Tarifas!$C$7:$E$108,3,FALSE))</f>
        <v/>
      </c>
      <c r="F25" s="53"/>
      <c r="G25" s="55" t="str">
        <f>IF(B25="","",VLOOKUP(A25,Tarifas!$C$6:$H$107,6,FALSE))</f>
        <v/>
      </c>
      <c r="H25" s="63" t="str">
        <f t="shared" si="0"/>
        <v/>
      </c>
    </row>
    <row r="26" spans="1:8" ht="15.75" hidden="1">
      <c r="A26" s="62"/>
      <c r="B26" s="53"/>
      <c r="C26" s="113" t="str">
        <f>IF(B26="","",VLOOKUP(A26,Tarifas!$C$8:$G$107,2,FALSE))</f>
        <v/>
      </c>
      <c r="D26" s="113"/>
      <c r="E26" s="54" t="str">
        <f>IF(B26="","",VLOOKUP(A26,Tarifas!$C$7:$E$108,3,FALSE))</f>
        <v/>
      </c>
      <c r="F26" s="53"/>
      <c r="G26" s="55" t="str">
        <f>IF(B26="","",VLOOKUP(A26,Tarifas!$C$6:$H$107,6,FALSE))</f>
        <v/>
      </c>
      <c r="H26" s="63" t="str">
        <f t="shared" si="0"/>
        <v/>
      </c>
    </row>
    <row r="27" spans="1:8" ht="15.75" hidden="1">
      <c r="A27" s="62"/>
      <c r="B27" s="53"/>
      <c r="C27" s="113" t="str">
        <f>IF(B27="","",VLOOKUP(A27,Tarifas!$C$8:$G$107,2,FALSE))</f>
        <v/>
      </c>
      <c r="D27" s="113"/>
      <c r="E27" s="54" t="str">
        <f>IF(B27="","",VLOOKUP(A27,Tarifas!$C$7:$E$108,3,FALSE))</f>
        <v/>
      </c>
      <c r="F27" s="53"/>
      <c r="G27" s="55" t="str">
        <f>IF(B27="","",VLOOKUP(A27,Tarifas!$C$6:$H$107,6,FALSE))</f>
        <v/>
      </c>
      <c r="H27" s="63" t="str">
        <f t="shared" si="0"/>
        <v/>
      </c>
    </row>
    <row r="28" spans="1:8" ht="15.75" hidden="1">
      <c r="A28" s="62"/>
      <c r="B28" s="53"/>
      <c r="C28" s="113" t="str">
        <f>IF(B28="","",VLOOKUP(A28,Tarifas!$C$8:$G$107,2,FALSE))</f>
        <v/>
      </c>
      <c r="D28" s="113"/>
      <c r="E28" s="54" t="str">
        <f>IF(B28="","",VLOOKUP(A28,Tarifas!$C$7:$E$108,3,FALSE))</f>
        <v/>
      </c>
      <c r="F28" s="53"/>
      <c r="G28" s="55" t="str">
        <f>IF(B28="","",VLOOKUP(A28,Tarifas!$C$6:$H$107,6,FALSE))</f>
        <v/>
      </c>
      <c r="H28" s="63" t="str">
        <f t="shared" si="0"/>
        <v/>
      </c>
    </row>
    <row r="29" spans="1:8" ht="15.75" hidden="1">
      <c r="A29" s="62"/>
      <c r="B29" s="53"/>
      <c r="C29" s="113" t="str">
        <f>IF(B29="","",VLOOKUP(A29,Tarifas!$C$8:$G$107,2,FALSE))</f>
        <v/>
      </c>
      <c r="D29" s="113"/>
      <c r="E29" s="54" t="str">
        <f>IF(B29="","",VLOOKUP(A29,Tarifas!$C$7:$E$108,3,FALSE))</f>
        <v/>
      </c>
      <c r="F29" s="53"/>
      <c r="G29" s="55" t="str">
        <f>IF(B29="","",VLOOKUP(A29,Tarifas!$C$6:$H$107,6,FALSE))</f>
        <v/>
      </c>
      <c r="H29" s="63" t="str">
        <f t="shared" si="0"/>
        <v/>
      </c>
    </row>
    <row r="30" spans="1:8" ht="15.75" hidden="1">
      <c r="A30" s="62"/>
      <c r="B30" s="53"/>
      <c r="C30" s="113" t="str">
        <f>IF(B30="","",VLOOKUP(A30,Tarifas!$C$8:$G$107,2,FALSE))</f>
        <v/>
      </c>
      <c r="D30" s="113"/>
      <c r="E30" s="54" t="str">
        <f>IF(B30="","",VLOOKUP(A30,Tarifas!$C$7:$E$108,3,FALSE))</f>
        <v/>
      </c>
      <c r="F30" s="53"/>
      <c r="G30" s="55" t="str">
        <f>IF(B30="","",VLOOKUP(A30,Tarifas!$C$6:$H$107,6,FALSE))</f>
        <v/>
      </c>
      <c r="H30" s="63" t="str">
        <f t="shared" si="0"/>
        <v/>
      </c>
    </row>
    <row r="31" spans="1:8" ht="15.75" hidden="1">
      <c r="A31" s="62"/>
      <c r="B31" s="53"/>
      <c r="C31" s="113" t="str">
        <f>IF(B31="","",VLOOKUP(A31,Tarifas!$C$8:$G$107,2,FALSE))</f>
        <v/>
      </c>
      <c r="D31" s="113"/>
      <c r="E31" s="54" t="str">
        <f>IF(B31="","",VLOOKUP(A31,Tarifas!$C$7:$E$108,3,FALSE))</f>
        <v/>
      </c>
      <c r="F31" s="53"/>
      <c r="G31" s="55" t="str">
        <f>IF(B31="","",VLOOKUP(A31,Tarifas!$C$6:$H$107,6,FALSE))</f>
        <v/>
      </c>
      <c r="H31" s="63" t="str">
        <f t="shared" si="0"/>
        <v/>
      </c>
    </row>
    <row r="32" spans="1:8" ht="15.75" hidden="1">
      <c r="A32" s="62"/>
      <c r="B32" s="53"/>
      <c r="C32" s="113" t="str">
        <f>IF(B32="","",VLOOKUP(A32,Tarifas!$C$8:$G$107,2,FALSE))</f>
        <v/>
      </c>
      <c r="D32" s="113"/>
      <c r="E32" s="54" t="str">
        <f>IF(B32="","",VLOOKUP(A32,Tarifas!$C$7:$E$108,3,FALSE))</f>
        <v/>
      </c>
      <c r="F32" s="53"/>
      <c r="G32" s="55" t="str">
        <f>IF(B32="","",VLOOKUP(A32,Tarifas!$C$6:$H$107,6,FALSE))</f>
        <v/>
      </c>
      <c r="H32" s="63" t="str">
        <f t="shared" si="0"/>
        <v/>
      </c>
    </row>
    <row r="33" spans="1:8" ht="15.75" hidden="1">
      <c r="A33" s="62"/>
      <c r="B33" s="53"/>
      <c r="C33" s="113" t="str">
        <f>IF(B33="","",VLOOKUP(A33,Tarifas!$C$8:$G$107,2,FALSE))</f>
        <v/>
      </c>
      <c r="D33" s="113"/>
      <c r="E33" s="54" t="str">
        <f>IF(B33="","",VLOOKUP(A33,Tarifas!$C$7:$E$108,3,FALSE))</f>
        <v/>
      </c>
      <c r="F33" s="53"/>
      <c r="G33" s="55" t="str">
        <f>IF(B33="","",VLOOKUP(A33,Tarifas!$C$6:$H$107,6,FALSE))</f>
        <v/>
      </c>
      <c r="H33" s="63" t="str">
        <f t="shared" si="0"/>
        <v/>
      </c>
    </row>
    <row r="34" spans="1:8" ht="15.75" hidden="1">
      <c r="A34" s="62"/>
      <c r="B34" s="53"/>
      <c r="C34" s="113" t="str">
        <f>IF(B34="","",VLOOKUP(A34,Tarifas!$C$8:$G$107,2,FALSE))</f>
        <v/>
      </c>
      <c r="D34" s="113"/>
      <c r="E34" s="54" t="str">
        <f>IF(B34="","",VLOOKUP(A34,Tarifas!$C$7:$E$108,3,FALSE))</f>
        <v/>
      </c>
      <c r="F34" s="53"/>
      <c r="G34" s="55" t="str">
        <f>IF(B34="","",VLOOKUP(A34,Tarifas!$C$6:$H$107,6,FALSE))</f>
        <v/>
      </c>
      <c r="H34" s="63" t="str">
        <f t="shared" si="0"/>
        <v/>
      </c>
    </row>
    <row r="35" spans="1:8" ht="15.75" hidden="1">
      <c r="A35" s="62"/>
      <c r="B35" s="53"/>
      <c r="C35" s="113" t="str">
        <f>IF(B35="","",VLOOKUP(A35,Tarifas!$C$8:$G$107,2,FALSE))</f>
        <v/>
      </c>
      <c r="D35" s="113"/>
      <c r="E35" s="54" t="str">
        <f>IF(B35="","",VLOOKUP(A35,Tarifas!$C$7:$E$108,3,FALSE))</f>
        <v/>
      </c>
      <c r="F35" s="53"/>
      <c r="G35" s="55" t="str">
        <f>IF(B35="","",VLOOKUP(A35,Tarifas!$C$6:$H$107,6,FALSE))</f>
        <v/>
      </c>
      <c r="H35" s="63" t="str">
        <f t="shared" si="0"/>
        <v/>
      </c>
    </row>
    <row r="36" spans="1:8" ht="15.75" hidden="1">
      <c r="A36" s="62"/>
      <c r="B36" s="53"/>
      <c r="C36" s="113" t="str">
        <f>IF(B36="","",VLOOKUP(A36,Tarifas!$C$8:$G$107,2,FALSE))</f>
        <v/>
      </c>
      <c r="D36" s="113"/>
      <c r="E36" s="54" t="str">
        <f>IF(B36="","",VLOOKUP(A36,Tarifas!$C$7:$E$108,3,FALSE))</f>
        <v/>
      </c>
      <c r="F36" s="53"/>
      <c r="G36" s="55" t="str">
        <f>IF(B36="","",VLOOKUP(A36,Tarifas!$C$6:$H$107,6,FALSE))</f>
        <v/>
      </c>
      <c r="H36" s="63" t="str">
        <f t="shared" si="0"/>
        <v/>
      </c>
    </row>
    <row r="37" spans="1:8" ht="15.75" hidden="1">
      <c r="A37" s="62"/>
      <c r="B37" s="53"/>
      <c r="C37" s="113" t="str">
        <f>IF(B37="","",VLOOKUP(A37,Tarifas!$C$8:$G$107,2,FALSE))</f>
        <v/>
      </c>
      <c r="D37" s="113"/>
      <c r="E37" s="54" t="str">
        <f>IF(B37="","",VLOOKUP(A37,Tarifas!$C$7:$E$108,3,FALSE))</f>
        <v/>
      </c>
      <c r="F37" s="53"/>
      <c r="G37" s="55" t="str">
        <f>IF(B37="","",VLOOKUP(A37,Tarifas!$C$6:$H$107,6,FALSE))</f>
        <v/>
      </c>
      <c r="H37" s="63" t="str">
        <f t="shared" si="0"/>
        <v/>
      </c>
    </row>
    <row r="38" spans="1:8" ht="15.75" hidden="1">
      <c r="A38" s="62"/>
      <c r="B38" s="53"/>
      <c r="C38" s="113" t="str">
        <f>IF(B38="","",VLOOKUP(A38,Tarifas!$C$8:$G$107,2,FALSE))</f>
        <v/>
      </c>
      <c r="D38" s="113"/>
      <c r="E38" s="54" t="str">
        <f>IF(B38="","",VLOOKUP(A38,Tarifas!$C$7:$E$108,3,FALSE))</f>
        <v/>
      </c>
      <c r="F38" s="53"/>
      <c r="G38" s="55" t="str">
        <f>IF(B38="","",VLOOKUP(A38,Tarifas!$C$6:$H$107,6,FALSE))</f>
        <v/>
      </c>
      <c r="H38" s="63" t="str">
        <f t="shared" si="0"/>
        <v/>
      </c>
    </row>
    <row r="39" spans="1:8" ht="15.75" hidden="1">
      <c r="A39" s="62"/>
      <c r="B39" s="53"/>
      <c r="C39" s="113" t="str">
        <f>IF(B39="","",VLOOKUP(A39,Tarifas!$C$8:$G$107,2,FALSE))</f>
        <v/>
      </c>
      <c r="D39" s="113"/>
      <c r="E39" s="54" t="str">
        <f>IF(B39="","",VLOOKUP(A39,Tarifas!$C$7:$E$108,3,FALSE))</f>
        <v/>
      </c>
      <c r="F39" s="53"/>
      <c r="G39" s="55" t="str">
        <f>IF(B39="","",VLOOKUP(A39,Tarifas!$C$6:$H$107,6,FALSE))</f>
        <v/>
      </c>
      <c r="H39" s="63" t="str">
        <f t="shared" si="0"/>
        <v/>
      </c>
    </row>
    <row r="40" spans="1:8" ht="15.75" hidden="1">
      <c r="A40" s="62"/>
      <c r="B40" s="53"/>
      <c r="C40" s="113" t="str">
        <f>IF(B40="","",VLOOKUP(A40,Tarifas!$C$8:$G$107,2,FALSE))</f>
        <v/>
      </c>
      <c r="D40" s="113"/>
      <c r="E40" s="54" t="str">
        <f>IF(B40="","",VLOOKUP(A40,Tarifas!$C$7:$E$108,3,FALSE))</f>
        <v/>
      </c>
      <c r="F40" s="53"/>
      <c r="G40" s="55" t="str">
        <f>IF(B40="","",VLOOKUP(A40,Tarifas!$C$6:$H$107,6,FALSE))</f>
        <v/>
      </c>
      <c r="H40" s="63" t="str">
        <f t="shared" si="0"/>
        <v/>
      </c>
    </row>
    <row r="41" spans="1:8" ht="15.75" hidden="1">
      <c r="A41" s="62"/>
      <c r="B41" s="53"/>
      <c r="C41" s="113" t="str">
        <f>IF(B41="","",VLOOKUP(A41,Tarifas!$C$8:$G$107,2,FALSE))</f>
        <v/>
      </c>
      <c r="D41" s="113"/>
      <c r="E41" s="54" t="str">
        <f>IF(B41="","",VLOOKUP(A41,Tarifas!$C$7:$E$108,3,FALSE))</f>
        <v/>
      </c>
      <c r="F41" s="53"/>
      <c r="G41" s="55" t="str">
        <f>IF(B41="","",VLOOKUP(A41,Tarifas!$C$6:$H$107,6,FALSE))</f>
        <v/>
      </c>
      <c r="H41" s="63" t="str">
        <f t="shared" si="0"/>
        <v/>
      </c>
    </row>
    <row r="42" spans="1:8" ht="15.75" hidden="1">
      <c r="A42" s="62"/>
      <c r="B42" s="53"/>
      <c r="C42" s="113" t="str">
        <f>IF(B42="","",VLOOKUP(A42,Tarifas!$C$8:$G$107,2,FALSE))</f>
        <v/>
      </c>
      <c r="D42" s="113"/>
      <c r="E42" s="54" t="str">
        <f>IF(B42="","",VLOOKUP(A42,Tarifas!$C$7:$E$108,3,FALSE))</f>
        <v/>
      </c>
      <c r="F42" s="53"/>
      <c r="G42" s="55" t="str">
        <f>IF(B42="","",VLOOKUP(A42,Tarifas!$C$6:$H$107,6,FALSE))</f>
        <v/>
      </c>
      <c r="H42" s="63" t="str">
        <f t="shared" si="0"/>
        <v/>
      </c>
    </row>
    <row r="43" spans="1:8" ht="15.75" hidden="1">
      <c r="A43" s="62"/>
      <c r="B43" s="53"/>
      <c r="C43" s="113" t="str">
        <f>IF(B43="","",VLOOKUP(A43,Tarifas!$C$8:$G$107,2,FALSE))</f>
        <v/>
      </c>
      <c r="D43" s="113"/>
      <c r="E43" s="54" t="str">
        <f>IF(B43="","",VLOOKUP(A43,Tarifas!$C$7:$E$108,3,FALSE))</f>
        <v/>
      </c>
      <c r="F43" s="53"/>
      <c r="G43" s="55" t="str">
        <f>IF(B43="","",VLOOKUP(A43,Tarifas!$C$6:$H$107,6,FALSE))</f>
        <v/>
      </c>
      <c r="H43" s="63" t="str">
        <f t="shared" si="0"/>
        <v/>
      </c>
    </row>
    <row r="44" spans="1:8" ht="15.75" hidden="1">
      <c r="A44" s="62"/>
      <c r="B44" s="53"/>
      <c r="C44" s="113" t="str">
        <f>IF(B44="","",VLOOKUP(A44,Tarifas!$C$8:$G$107,2,FALSE))</f>
        <v/>
      </c>
      <c r="D44" s="113"/>
      <c r="E44" s="54" t="str">
        <f>IF(B44="","",VLOOKUP(A44,Tarifas!$C$7:$E$108,3,FALSE))</f>
        <v/>
      </c>
      <c r="F44" s="53"/>
      <c r="G44" s="55" t="str">
        <f>IF(B44="","",VLOOKUP(A44,Tarifas!$C$6:$H$107,6,FALSE))</f>
        <v/>
      </c>
      <c r="H44" s="63" t="str">
        <f t="shared" si="0"/>
        <v/>
      </c>
    </row>
    <row r="45" spans="1:8" ht="15.75" hidden="1">
      <c r="A45" s="62"/>
      <c r="B45" s="53"/>
      <c r="C45" s="113" t="str">
        <f>IF(B45="","",VLOOKUP(A45,Tarifas!$C$8:$G$107,2,FALSE))</f>
        <v/>
      </c>
      <c r="D45" s="113"/>
      <c r="E45" s="54" t="str">
        <f>IF(B45="","",VLOOKUP(A45,Tarifas!$C$7:$E$108,3,FALSE))</f>
        <v/>
      </c>
      <c r="F45" s="53"/>
      <c r="G45" s="55" t="str">
        <f>IF(B45="","",VLOOKUP(A45,Tarifas!$C$6:$H$107,6,FALSE))</f>
        <v/>
      </c>
      <c r="H45" s="63" t="str">
        <f t="shared" si="0"/>
        <v/>
      </c>
    </row>
    <row r="46" spans="1:8" ht="15.75" hidden="1">
      <c r="A46" s="62"/>
      <c r="B46" s="53"/>
      <c r="C46" s="113" t="str">
        <f>IF(B46="","",VLOOKUP(A46,Tarifas!$C$8:$G$107,2,FALSE))</f>
        <v/>
      </c>
      <c r="D46" s="113"/>
      <c r="E46" s="54" t="str">
        <f>IF(B46="","",VLOOKUP(A46,Tarifas!$C$7:$E$108,3,FALSE))</f>
        <v/>
      </c>
      <c r="F46" s="53"/>
      <c r="G46" s="55" t="str">
        <f>IF(B46="","",VLOOKUP(A46,Tarifas!$C$6:$H$107,6,FALSE))</f>
        <v/>
      </c>
      <c r="H46" s="63" t="str">
        <f t="shared" si="0"/>
        <v/>
      </c>
    </row>
    <row r="47" spans="1:8" ht="15.75" hidden="1">
      <c r="A47" s="62"/>
      <c r="B47" s="53"/>
      <c r="C47" s="113" t="str">
        <f>IF(B47="","",VLOOKUP(A47,Tarifas!$C$8:$G$107,2,FALSE))</f>
        <v/>
      </c>
      <c r="D47" s="113"/>
      <c r="E47" s="54" t="str">
        <f>IF(B47="","",VLOOKUP(A47,Tarifas!$C$7:$E$108,3,FALSE))</f>
        <v/>
      </c>
      <c r="F47" s="53"/>
      <c r="G47" s="55" t="str">
        <f>IF(B47="","",VLOOKUP(A47,Tarifas!$C$6:$H$107,6,FALSE))</f>
        <v/>
      </c>
      <c r="H47" s="63" t="str">
        <f t="shared" si="0"/>
        <v/>
      </c>
    </row>
    <row r="48" spans="1:8" ht="8.25" customHeight="1">
      <c r="A48" s="162"/>
      <c r="B48" s="163"/>
      <c r="C48" s="163"/>
      <c r="D48" s="163"/>
      <c r="E48" s="163"/>
      <c r="F48" s="163"/>
      <c r="G48" s="163"/>
      <c r="H48" s="164"/>
    </row>
    <row r="49" spans="1:21" ht="15.75" customHeight="1">
      <c r="A49" s="64"/>
      <c r="B49" s="65"/>
      <c r="C49" s="65"/>
      <c r="D49" s="65"/>
      <c r="E49" s="49" t="s">
        <v>19</v>
      </c>
      <c r="F49" s="50">
        <f>SUM(F12:F47)</f>
        <v>4</v>
      </c>
      <c r="G49" s="167">
        <f>SUM(H12:H47)</f>
        <v>626400</v>
      </c>
      <c r="H49" s="168"/>
      <c r="J49" s="51"/>
    </row>
    <row r="50" spans="1:21" ht="14.25" hidden="1" customHeight="1">
      <c r="A50" s="64"/>
      <c r="B50" s="65"/>
      <c r="C50" s="65"/>
      <c r="D50" s="65"/>
      <c r="E50" s="52" t="s">
        <v>20</v>
      </c>
      <c r="F50" s="165"/>
      <c r="G50" s="166"/>
      <c r="H50" s="66">
        <f>G49*F50</f>
        <v>0</v>
      </c>
      <c r="L50" s="56" t="s">
        <v>21</v>
      </c>
    </row>
    <row r="51" spans="1:21" ht="13.5" hidden="1" customHeight="1">
      <c r="A51" s="64"/>
      <c r="B51" s="65"/>
      <c r="C51" s="65"/>
      <c r="D51" s="65"/>
      <c r="E51" s="52" t="s">
        <v>22</v>
      </c>
      <c r="F51" s="159"/>
      <c r="G51" s="160"/>
      <c r="H51" s="161"/>
      <c r="L51" s="56" t="s">
        <v>23</v>
      </c>
    </row>
    <row r="52" spans="1:21" ht="34.5" customHeight="1">
      <c r="A52" s="64"/>
      <c r="B52" s="65"/>
      <c r="C52" s="65"/>
      <c r="D52" s="65"/>
      <c r="E52" s="221" t="s">
        <v>24</v>
      </c>
      <c r="F52" s="221"/>
      <c r="G52" s="222"/>
      <c r="H52" s="67">
        <f>G49-H50+F51</f>
        <v>626400</v>
      </c>
      <c r="L52" s="56" t="s">
        <v>25</v>
      </c>
    </row>
    <row r="53" spans="1:21" ht="12.75">
      <c r="A53" s="223"/>
      <c r="B53" s="224"/>
      <c r="C53" s="224"/>
      <c r="D53" s="224"/>
      <c r="E53" s="224"/>
      <c r="F53" s="224"/>
      <c r="G53" s="224"/>
      <c r="H53" s="225"/>
    </row>
    <row r="54" spans="1:21" ht="40.5" customHeight="1">
      <c r="A54" s="169" t="s">
        <v>379</v>
      </c>
      <c r="B54" s="170"/>
      <c r="C54" s="170"/>
      <c r="D54" s="170"/>
      <c r="E54" s="170"/>
      <c r="F54" s="170"/>
      <c r="G54" s="170"/>
      <c r="H54" s="171"/>
    </row>
    <row r="55" spans="1:21" s="59" customFormat="1" ht="14.25">
      <c r="A55" s="99"/>
      <c r="B55" s="58"/>
      <c r="C55" s="58"/>
      <c r="D55" s="58"/>
      <c r="E55" s="58"/>
      <c r="F55" s="58"/>
      <c r="G55" s="58"/>
      <c r="H55" s="68"/>
      <c r="I55" s="58"/>
      <c r="J55" s="58"/>
      <c r="K55" s="58"/>
      <c r="L55" s="58"/>
      <c r="M55" s="58"/>
      <c r="N55" s="58"/>
      <c r="O55" s="58"/>
      <c r="P55" s="58"/>
      <c r="Q55" s="58"/>
      <c r="R55" s="58"/>
      <c r="S55" s="58"/>
      <c r="T55" s="58"/>
      <c r="U55" s="58"/>
    </row>
    <row r="56" spans="1:21" ht="14.25">
      <c r="A56" s="175" t="s">
        <v>26</v>
      </c>
      <c r="B56" s="176"/>
      <c r="C56" s="176"/>
      <c r="D56" s="176"/>
      <c r="E56" s="176"/>
      <c r="F56" s="176"/>
      <c r="G56" s="176"/>
      <c r="H56" s="177"/>
    </row>
    <row r="57" spans="1:21" ht="18.75" customHeight="1">
      <c r="A57" s="69" t="s">
        <v>27</v>
      </c>
      <c r="B57" s="153"/>
      <c r="C57" s="153"/>
      <c r="D57" s="153"/>
      <c r="E57" s="153"/>
      <c r="F57" s="153"/>
      <c r="G57" s="153"/>
      <c r="H57" s="154"/>
    </row>
    <row r="58" spans="1:21" ht="133.5" customHeight="1">
      <c r="A58" s="178" t="s">
        <v>28</v>
      </c>
      <c r="B58" s="179"/>
      <c r="C58" s="179"/>
      <c r="D58" s="179"/>
      <c r="E58" s="179"/>
      <c r="F58" s="179"/>
      <c r="G58" s="179"/>
      <c r="H58" s="180"/>
    </row>
    <row r="59" spans="1:21" ht="16.5" customHeight="1">
      <c r="A59" s="155" t="s">
        <v>29</v>
      </c>
      <c r="B59" s="156"/>
      <c r="C59" s="156"/>
      <c r="D59" s="156"/>
      <c r="E59" s="156"/>
      <c r="F59" s="156"/>
      <c r="G59" s="156"/>
      <c r="H59" s="157"/>
    </row>
    <row r="60" spans="1:21" ht="30" customHeight="1">
      <c r="A60" s="155" t="s">
        <v>30</v>
      </c>
      <c r="B60" s="156"/>
      <c r="C60" s="156"/>
      <c r="D60" s="156"/>
      <c r="E60" s="156"/>
      <c r="F60" s="156"/>
      <c r="G60" s="156"/>
      <c r="H60" s="157"/>
    </row>
    <row r="61" spans="1:21" ht="15" customHeight="1">
      <c r="A61" s="158" t="s">
        <v>31</v>
      </c>
      <c r="B61" s="156"/>
      <c r="C61" s="156"/>
      <c r="D61" s="156"/>
      <c r="E61" s="156"/>
      <c r="F61" s="156"/>
      <c r="G61" s="156"/>
      <c r="H61" s="157"/>
    </row>
    <row r="62" spans="1:21" ht="63.75" customHeight="1">
      <c r="A62" s="218" t="s">
        <v>380</v>
      </c>
      <c r="B62" s="219"/>
      <c r="C62" s="219"/>
      <c r="D62" s="219"/>
      <c r="E62" s="219"/>
      <c r="F62" s="219"/>
      <c r="G62" s="219"/>
      <c r="H62" s="220"/>
    </row>
    <row r="63" spans="1:21" ht="31.5" customHeight="1">
      <c r="A63" s="116" t="s">
        <v>32</v>
      </c>
      <c r="B63" s="117"/>
      <c r="C63" s="117"/>
      <c r="D63" s="117"/>
      <c r="E63" s="117"/>
      <c r="F63" s="117"/>
      <c r="G63" s="117"/>
      <c r="H63" s="118"/>
    </row>
    <row r="64" spans="1:21" ht="21" customHeight="1">
      <c r="A64" s="181" t="s">
        <v>33</v>
      </c>
      <c r="B64" s="148"/>
      <c r="C64" s="148"/>
      <c r="D64" s="148"/>
      <c r="E64" s="148"/>
      <c r="F64" s="148"/>
      <c r="G64" s="148"/>
      <c r="H64" s="149"/>
    </row>
    <row r="65" spans="1:9" ht="18.75" customHeight="1">
      <c r="A65" s="116" t="s">
        <v>34</v>
      </c>
      <c r="B65" s="117"/>
      <c r="C65" s="117"/>
      <c r="D65" s="117"/>
      <c r="E65" s="117"/>
      <c r="F65" s="117"/>
      <c r="G65" s="117"/>
      <c r="H65" s="118"/>
    </row>
    <row r="66" spans="1:9" ht="48" customHeight="1">
      <c r="A66" s="131" t="s">
        <v>35</v>
      </c>
      <c r="B66" s="132"/>
      <c r="C66" s="132"/>
      <c r="D66" s="132"/>
      <c r="E66" s="132"/>
      <c r="F66" s="132"/>
      <c r="G66" s="132"/>
      <c r="H66" s="133"/>
    </row>
    <row r="67" spans="1:9" ht="12.75" customHeight="1">
      <c r="A67" s="150" t="s">
        <v>36</v>
      </c>
      <c r="B67" s="151"/>
      <c r="C67" s="151"/>
      <c r="D67" s="151"/>
      <c r="E67" s="151"/>
      <c r="F67" s="151"/>
      <c r="G67" s="151"/>
      <c r="H67" s="152"/>
    </row>
    <row r="68" spans="1:9" ht="68.25" customHeight="1">
      <c r="A68" s="182" t="s">
        <v>263</v>
      </c>
      <c r="B68" s="132"/>
      <c r="C68" s="132"/>
      <c r="D68" s="132"/>
      <c r="E68" s="132"/>
      <c r="F68" s="132"/>
      <c r="G68" s="132"/>
      <c r="H68" s="133"/>
      <c r="I68" s="57"/>
    </row>
    <row r="69" spans="1:9" ht="27" customHeight="1">
      <c r="A69" s="119" t="s">
        <v>37</v>
      </c>
      <c r="B69" s="120"/>
      <c r="C69" s="120"/>
      <c r="D69" s="120"/>
      <c r="E69" s="120"/>
      <c r="F69" s="120"/>
      <c r="G69" s="120"/>
      <c r="H69" s="121"/>
    </row>
    <row r="70" spans="1:9" ht="99.75" customHeight="1">
      <c r="A70" s="122" t="s">
        <v>38</v>
      </c>
      <c r="B70" s="123"/>
      <c r="C70" s="123"/>
      <c r="D70" s="123"/>
      <c r="E70" s="123"/>
      <c r="F70" s="123"/>
      <c r="G70" s="123"/>
      <c r="H70" s="124"/>
    </row>
    <row r="71" spans="1:9" ht="12.75" customHeight="1">
      <c r="A71" s="125" t="s">
        <v>39</v>
      </c>
      <c r="B71" s="126"/>
      <c r="C71" s="126"/>
      <c r="D71" s="126"/>
      <c r="E71" s="126"/>
      <c r="F71" s="126"/>
      <c r="G71" s="126"/>
      <c r="H71" s="127"/>
    </row>
    <row r="72" spans="1:9" ht="54" customHeight="1">
      <c r="A72" s="128" t="s">
        <v>40</v>
      </c>
      <c r="B72" s="129"/>
      <c r="C72" s="129"/>
      <c r="D72" s="129"/>
      <c r="E72" s="129"/>
      <c r="F72" s="129"/>
      <c r="G72" s="129"/>
      <c r="H72" s="130"/>
    </row>
    <row r="73" spans="1:9" ht="24.75" customHeight="1">
      <c r="A73" s="134" t="s">
        <v>41</v>
      </c>
      <c r="B73" s="135"/>
      <c r="C73" s="135"/>
      <c r="D73" s="135"/>
      <c r="E73" s="135"/>
      <c r="F73" s="136" t="s">
        <v>42</v>
      </c>
      <c r="G73" s="136"/>
      <c r="H73" s="137"/>
    </row>
    <row r="74" spans="1:9" ht="12.75" customHeight="1">
      <c r="A74" s="125" t="s">
        <v>43</v>
      </c>
      <c r="B74" s="126"/>
      <c r="C74" s="126"/>
      <c r="D74" s="126"/>
      <c r="E74" s="126"/>
      <c r="F74" s="126"/>
      <c r="G74" s="126"/>
      <c r="H74" s="127"/>
    </row>
    <row r="75" spans="1:9" ht="39.75" customHeight="1">
      <c r="A75" s="144" t="s">
        <v>44</v>
      </c>
      <c r="B75" s="145"/>
      <c r="C75" s="145"/>
      <c r="D75" s="145"/>
      <c r="E75" s="145"/>
      <c r="F75" s="145"/>
      <c r="G75" s="145"/>
      <c r="H75" s="146"/>
    </row>
    <row r="76" spans="1:9" ht="12.75" customHeight="1">
      <c r="A76" s="125" t="s">
        <v>45</v>
      </c>
      <c r="B76" s="126"/>
      <c r="C76" s="126"/>
      <c r="D76" s="126"/>
      <c r="E76" s="126"/>
      <c r="F76" s="126"/>
      <c r="G76" s="126"/>
      <c r="H76" s="127"/>
    </row>
    <row r="77" spans="1:9" ht="93.75" customHeight="1">
      <c r="A77" s="172" t="s">
        <v>46</v>
      </c>
      <c r="B77" s="173"/>
      <c r="C77" s="173"/>
      <c r="D77" s="173"/>
      <c r="E77" s="173"/>
      <c r="F77" s="173"/>
      <c r="G77" s="173"/>
      <c r="H77" s="174"/>
    </row>
    <row r="78" spans="1:9" ht="12.75" customHeight="1">
      <c r="A78" s="125" t="s">
        <v>47</v>
      </c>
      <c r="B78" s="126"/>
      <c r="C78" s="126"/>
      <c r="D78" s="126"/>
      <c r="E78" s="126"/>
      <c r="F78" s="126"/>
      <c r="G78" s="126"/>
      <c r="H78" s="127"/>
    </row>
    <row r="79" spans="1:9" ht="54.75" customHeight="1">
      <c r="A79" s="147" t="s">
        <v>48</v>
      </c>
      <c r="B79" s="148"/>
      <c r="C79" s="148"/>
      <c r="D79" s="148"/>
      <c r="E79" s="148"/>
      <c r="F79" s="148"/>
      <c r="G79" s="148"/>
      <c r="H79" s="149"/>
    </row>
    <row r="80" spans="1:9" ht="18.75" customHeight="1">
      <c r="A80" s="138" t="s">
        <v>49</v>
      </c>
      <c r="B80" s="139"/>
      <c r="C80" s="139"/>
      <c r="D80" s="139"/>
      <c r="E80" s="139"/>
      <c r="F80" s="139"/>
      <c r="G80" s="139"/>
      <c r="H80" s="140"/>
    </row>
    <row r="81" spans="1:8" ht="72.75" customHeight="1">
      <c r="A81" s="141" t="s">
        <v>50</v>
      </c>
      <c r="B81" s="142"/>
      <c r="C81" s="142"/>
      <c r="D81" s="142"/>
      <c r="E81" s="142"/>
      <c r="F81" s="142"/>
      <c r="G81" s="142"/>
      <c r="H81" s="143"/>
    </row>
    <row r="82" spans="1:8" ht="12.75" customHeight="1">
      <c r="A82" s="114"/>
      <c r="B82" s="115"/>
      <c r="C82" s="73"/>
      <c r="D82" s="73"/>
      <c r="E82" s="73"/>
      <c r="F82" s="73"/>
      <c r="G82" s="73"/>
      <c r="H82" s="74"/>
    </row>
    <row r="83" spans="1:8" ht="12.75" customHeight="1">
      <c r="A83" s="208" t="s">
        <v>51</v>
      </c>
      <c r="B83" s="209"/>
      <c r="C83" s="209"/>
      <c r="D83" s="209"/>
      <c r="E83" s="209"/>
      <c r="F83" s="209"/>
      <c r="G83" s="209"/>
      <c r="H83" s="210"/>
    </row>
    <row r="84" spans="1:8" ht="12.75" customHeight="1">
      <c r="A84" s="211" t="s">
        <v>52</v>
      </c>
      <c r="B84" s="212"/>
      <c r="C84" s="212"/>
      <c r="D84" s="212"/>
      <c r="E84" s="212"/>
      <c r="F84" s="212"/>
      <c r="G84" s="212"/>
      <c r="H84" s="213"/>
    </row>
    <row r="85" spans="1:8" ht="12.75" customHeight="1">
      <c r="A85" s="214" t="s">
        <v>53</v>
      </c>
      <c r="B85" s="215"/>
      <c r="C85" s="215"/>
      <c r="D85" s="215"/>
      <c r="E85" s="215"/>
      <c r="F85" s="215"/>
      <c r="G85" s="215"/>
      <c r="H85" s="216"/>
    </row>
    <row r="86" spans="1:8" ht="12.75" customHeight="1">
      <c r="A86" s="217"/>
      <c r="B86" s="217"/>
      <c r="C86" s="217"/>
      <c r="D86" s="217"/>
      <c r="E86" s="217"/>
      <c r="F86" s="217"/>
      <c r="G86" s="217"/>
      <c r="H86" s="217"/>
    </row>
    <row r="87" spans="1:8" ht="12.75" customHeight="1"/>
    <row r="88" spans="1:8" ht="12.75" customHeight="1"/>
    <row r="89" spans="1:8" ht="12.75" customHeight="1"/>
    <row r="90" spans="1:8" ht="12.75" customHeight="1"/>
    <row r="91" spans="1:8" ht="12.75" customHeight="1"/>
    <row r="92" spans="1:8" ht="12.75" customHeight="1"/>
    <row r="93" spans="1:8" ht="12.75" customHeight="1"/>
    <row r="94" spans="1:8" ht="12.75" customHeight="1"/>
    <row r="95" spans="1:8" ht="12.75" customHeight="1"/>
    <row r="96" spans="1:8" ht="12.75" customHeight="1">
      <c r="F96" s="48"/>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sheetData>
  <sheetProtection formatCells="0" formatColumns="0" formatRows="0" insertRows="0" deleteRows="0" selectLockedCells="1"/>
  <mergeCells count="88">
    <mergeCell ref="A83:H83"/>
    <mergeCell ref="A84:H84"/>
    <mergeCell ref="A85:H85"/>
    <mergeCell ref="A86:H86"/>
    <mergeCell ref="C13:D13"/>
    <mergeCell ref="C17:D17"/>
    <mergeCell ref="C47:D47"/>
    <mergeCell ref="C45:D45"/>
    <mergeCell ref="C46:D46"/>
    <mergeCell ref="C31:D31"/>
    <mergeCell ref="C32:D32"/>
    <mergeCell ref="C40:D40"/>
    <mergeCell ref="A62:H62"/>
    <mergeCell ref="A63:H63"/>
    <mergeCell ref="E52:G52"/>
    <mergeCell ref="A53:H53"/>
    <mergeCell ref="A1:H1"/>
    <mergeCell ref="A4:H4"/>
    <mergeCell ref="C11:D11"/>
    <mergeCell ref="F7:H7"/>
    <mergeCell ref="F8:H8"/>
    <mergeCell ref="F9:H9"/>
    <mergeCell ref="A2:H2"/>
    <mergeCell ref="A3:H3"/>
    <mergeCell ref="B5:H5"/>
    <mergeCell ref="B6:H6"/>
    <mergeCell ref="B7:D7"/>
    <mergeCell ref="B8:D8"/>
    <mergeCell ref="B9:D9"/>
    <mergeCell ref="A77:H77"/>
    <mergeCell ref="A56:H56"/>
    <mergeCell ref="A58:H58"/>
    <mergeCell ref="A59:H59"/>
    <mergeCell ref="A64:H64"/>
    <mergeCell ref="A68:H68"/>
    <mergeCell ref="C44:D44"/>
    <mergeCell ref="A67:H67"/>
    <mergeCell ref="B57:H57"/>
    <mergeCell ref="A60:H60"/>
    <mergeCell ref="A61:H61"/>
    <mergeCell ref="F51:H51"/>
    <mergeCell ref="A48:H48"/>
    <mergeCell ref="F50:G50"/>
    <mergeCell ref="G49:H49"/>
    <mergeCell ref="A54:H54"/>
    <mergeCell ref="A82:B82"/>
    <mergeCell ref="A65:H65"/>
    <mergeCell ref="A69:H69"/>
    <mergeCell ref="A70:H70"/>
    <mergeCell ref="A71:H71"/>
    <mergeCell ref="A72:H72"/>
    <mergeCell ref="A66:H66"/>
    <mergeCell ref="A73:E73"/>
    <mergeCell ref="F73:H73"/>
    <mergeCell ref="A80:H80"/>
    <mergeCell ref="A81:H81"/>
    <mergeCell ref="A74:H74"/>
    <mergeCell ref="A75:H75"/>
    <mergeCell ref="A78:H78"/>
    <mergeCell ref="A79:H79"/>
    <mergeCell ref="A76:H76"/>
    <mergeCell ref="C19:D19"/>
    <mergeCell ref="C20:D20"/>
    <mergeCell ref="C30:D30"/>
    <mergeCell ref="C29:D29"/>
    <mergeCell ref="C21:D21"/>
    <mergeCell ref="C22:D22"/>
    <mergeCell ref="C23:D23"/>
    <mergeCell ref="C24:D24"/>
    <mergeCell ref="C27:D27"/>
    <mergeCell ref="C28:D28"/>
    <mergeCell ref="C26:D26"/>
    <mergeCell ref="C14:D14"/>
    <mergeCell ref="C15:D15"/>
    <mergeCell ref="C12:D12"/>
    <mergeCell ref="C43:D43"/>
    <mergeCell ref="C33:D33"/>
    <mergeCell ref="C34:D34"/>
    <mergeCell ref="C35:D35"/>
    <mergeCell ref="C36:D36"/>
    <mergeCell ref="C37:D37"/>
    <mergeCell ref="C39:D39"/>
    <mergeCell ref="C41:D41"/>
    <mergeCell ref="C42:D42"/>
    <mergeCell ref="C38:D38"/>
    <mergeCell ref="C25:D25"/>
    <mergeCell ref="C16:D16"/>
    <mergeCell ref="C18:D18"/>
  </mergeCells>
  <phoneticPr fontId="14" type="noConversion"/>
  <conditionalFormatting sqref="A48 A49:D52">
    <cfRule type="expression" dxfId="1" priority="1">
      <formula>#REF!="No_acreditado"</formula>
    </cfRule>
    <cfRule type="expression" dxfId="0" priority="2">
      <formula>#REF!="Acreditado"</formula>
    </cfRule>
  </conditionalFormatting>
  <dataValidations count="3">
    <dataValidation type="list" allowBlank="1" showInputMessage="1" showErrorMessage="1" sqref="A12:A47" xr:uid="{00000000-0002-0000-0000-000000000000}">
      <formula1>INDIRECT(B12)</formula1>
    </dataValidation>
    <dataValidation type="list" allowBlank="1" showInputMessage="1" showErrorMessage="1" sqref="A57" xr:uid="{D709B9AF-4E95-4C9B-94F8-43154E6B0EF4}">
      <formula1>$L$50:$L$52</formula1>
    </dataValidation>
    <dataValidation type="list" allowBlank="1" showInputMessage="1" showErrorMessage="1" sqref="B12:B47" xr:uid="{C15DC6CF-755E-4109-9DF2-808A4B5093DE}">
      <formula1>"No_acreditado,Acreditado_Obs1"</formula1>
    </dataValidation>
  </dataValidations>
  <hyperlinks>
    <hyperlink ref="F73" r:id="rId1" xr:uid="{00000000-0004-0000-0000-000000000000}"/>
    <hyperlink ref="A68:H68" r:id="rId2" display="Se informa que puede realizar el pago en línea por la página de universidad: https://apps.usc.edu.co/. También se puede realizar el pago por transferencia a la cuenta corriente No. 484210802 del Banco de Bogotá. Se debe enviar el soporte de consignación al correo comercialmetrologia@usc.edu.co con relación de la factura que desea saldar y el nit o documento de identidad. Es importante recordar la importancia de cumplir con las obligaciones de pago dentro de los plazos establecidos para garantizar un correcto funcionamiento." xr:uid="{49330B21-D96A-40F2-AFC6-E40795646370}"/>
    <hyperlink ref="F9" r:id="rId3" xr:uid="{D0D509F2-3DD5-43EC-B2C3-B8C88EBE4CFE}"/>
  </hyperlinks>
  <pageMargins left="0.7" right="0.7" top="0.75" bottom="0.75" header="0.3" footer="0.3"/>
  <pageSetup paperSize="9" scale="60" orientation="landscape" r:id="rId4"/>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068E6"/>
  </sheetPr>
  <dimension ref="B1:J969"/>
  <sheetViews>
    <sheetView view="pageBreakPreview" topLeftCell="A2" zoomScale="85" zoomScaleNormal="100" zoomScaleSheetLayoutView="85" workbookViewId="0">
      <selection activeCell="K5" sqref="K5"/>
    </sheetView>
  </sheetViews>
  <sheetFormatPr baseColWidth="10" defaultColWidth="14.42578125" defaultRowHeight="15" customHeight="1"/>
  <cols>
    <col min="1" max="1" width="2.85546875" style="1" customWidth="1"/>
    <col min="2" max="2" width="10.85546875" style="1" customWidth="1"/>
    <col min="3" max="3" width="32.85546875" style="1" customWidth="1"/>
    <col min="4" max="4" width="35" style="1" customWidth="1"/>
    <col min="5" max="5" width="29" style="1" customWidth="1"/>
    <col min="6" max="6" width="10.7109375" style="1" customWidth="1"/>
    <col min="7" max="7" width="19.28515625" style="1" hidden="1" customWidth="1"/>
    <col min="8" max="8" width="19.28515625" style="1" customWidth="1"/>
    <col min="9" max="9" width="22.85546875" style="1" customWidth="1"/>
    <col min="10" max="17" width="10.7109375" style="1" customWidth="1"/>
    <col min="18" max="16384" width="14.42578125" style="1"/>
  </cols>
  <sheetData>
    <row r="1" spans="2:10" ht="21" customHeight="1">
      <c r="C1" s="226" t="s">
        <v>264</v>
      </c>
      <c r="D1" s="227"/>
      <c r="E1" s="83"/>
      <c r="F1" s="83"/>
      <c r="G1" s="83"/>
      <c r="H1" s="83"/>
      <c r="I1" s="81"/>
    </row>
    <row r="2" spans="2:10" ht="42.75" customHeight="1">
      <c r="C2" s="228"/>
      <c r="D2" s="229"/>
      <c r="E2" s="84"/>
      <c r="F2" s="84"/>
      <c r="G2" s="84"/>
      <c r="H2" s="84"/>
      <c r="I2" s="82"/>
    </row>
    <row r="3" spans="2:10" ht="21" customHeight="1">
      <c r="C3" s="228"/>
      <c r="D3" s="229"/>
      <c r="E3" s="84"/>
      <c r="F3" s="84"/>
      <c r="G3" s="84"/>
      <c r="H3" s="84"/>
      <c r="I3" s="82"/>
      <c r="J3"/>
    </row>
    <row r="4" spans="2:10" ht="35.25" customHeight="1">
      <c r="C4" s="230"/>
      <c r="D4" s="231"/>
      <c r="E4" s="84"/>
      <c r="F4" s="84"/>
      <c r="G4" s="84"/>
      <c r="H4" s="84"/>
      <c r="I4" s="82"/>
    </row>
    <row r="5" spans="2:10" ht="33.75" customHeight="1" thickBot="1">
      <c r="C5" s="242" t="s">
        <v>54</v>
      </c>
      <c r="D5" s="243"/>
      <c r="E5" s="243"/>
      <c r="F5" s="243"/>
      <c r="G5" s="243"/>
      <c r="H5" s="243"/>
      <c r="I5" s="244"/>
    </row>
    <row r="6" spans="2:10" ht="42" customHeight="1" thickBot="1">
      <c r="C6" s="107" t="s">
        <v>55</v>
      </c>
      <c r="D6" s="108" t="s">
        <v>56</v>
      </c>
      <c r="E6" s="108" t="s">
        <v>57</v>
      </c>
      <c r="F6" s="109" t="s">
        <v>58</v>
      </c>
      <c r="G6" s="110" t="s">
        <v>266</v>
      </c>
      <c r="H6" s="110" t="s">
        <v>381</v>
      </c>
      <c r="I6" s="111" t="s">
        <v>267</v>
      </c>
    </row>
    <row r="7" spans="2:10" ht="67.5" customHeight="1" thickBot="1">
      <c r="B7" s="248" t="s">
        <v>61</v>
      </c>
      <c r="C7" s="26" t="s">
        <v>265</v>
      </c>
      <c r="D7" s="10" t="s">
        <v>63</v>
      </c>
      <c r="E7" s="11" t="s">
        <v>64</v>
      </c>
      <c r="F7" s="91" t="s">
        <v>282</v>
      </c>
      <c r="G7" s="13">
        <v>155000</v>
      </c>
      <c r="H7" s="105">
        <f>G7+(G7*0.08)</f>
        <v>167400</v>
      </c>
      <c r="I7" s="106">
        <f>H7-(H7*0.15)</f>
        <v>142290</v>
      </c>
    </row>
    <row r="8" spans="2:10" ht="115.5" customHeight="1" thickBot="1">
      <c r="B8" s="249"/>
      <c r="C8" s="27" t="s">
        <v>268</v>
      </c>
      <c r="D8" s="3" t="s">
        <v>63</v>
      </c>
      <c r="E8" s="5" t="s">
        <v>274</v>
      </c>
      <c r="F8" s="90" t="s">
        <v>283</v>
      </c>
      <c r="G8" s="7">
        <v>155000</v>
      </c>
      <c r="H8" s="92">
        <f t="shared" ref="H8:H25" si="0">G8+(G8*0.08)</f>
        <v>167400</v>
      </c>
      <c r="I8" s="102">
        <f t="shared" ref="I8:I71" si="1">H8-(H8*0.15)</f>
        <v>142290</v>
      </c>
    </row>
    <row r="9" spans="2:10" ht="87" customHeight="1" thickBot="1">
      <c r="B9" s="249"/>
      <c r="C9" s="94" t="s">
        <v>388</v>
      </c>
      <c r="D9" s="3" t="s">
        <v>63</v>
      </c>
      <c r="E9" s="5" t="s">
        <v>64</v>
      </c>
      <c r="F9" s="90" t="s">
        <v>284</v>
      </c>
      <c r="G9" s="7">
        <v>50000</v>
      </c>
      <c r="H9" s="93">
        <v>50000</v>
      </c>
      <c r="I9" s="102">
        <f t="shared" si="1"/>
        <v>42500</v>
      </c>
    </row>
    <row r="10" spans="2:10" ht="115.5" customHeight="1" thickBot="1">
      <c r="B10" s="250"/>
      <c r="C10" s="103" t="s">
        <v>389</v>
      </c>
      <c r="D10" s="20" t="s">
        <v>63</v>
      </c>
      <c r="E10" s="21" t="s">
        <v>274</v>
      </c>
      <c r="F10" s="90" t="s">
        <v>285</v>
      </c>
      <c r="G10" s="23">
        <v>50000</v>
      </c>
      <c r="H10" s="104">
        <v>50000</v>
      </c>
      <c r="I10" s="102">
        <f t="shared" si="1"/>
        <v>42500</v>
      </c>
    </row>
    <row r="11" spans="2:10" ht="100.5" customHeight="1" thickBot="1">
      <c r="B11" s="245" t="s">
        <v>67</v>
      </c>
      <c r="C11" s="101" t="s">
        <v>384</v>
      </c>
      <c r="D11" s="10" t="s">
        <v>69</v>
      </c>
      <c r="E11" s="11" t="s">
        <v>275</v>
      </c>
      <c r="F11" s="90" t="s">
        <v>286</v>
      </c>
      <c r="G11" s="13">
        <v>50000</v>
      </c>
      <c r="H11" s="93">
        <v>50000</v>
      </c>
      <c r="I11" s="102">
        <f t="shared" si="1"/>
        <v>42500</v>
      </c>
    </row>
    <row r="12" spans="2:10" ht="71.25" customHeight="1" thickBot="1">
      <c r="B12" s="246"/>
      <c r="C12" s="95" t="s">
        <v>385</v>
      </c>
      <c r="D12" s="3" t="s">
        <v>69</v>
      </c>
      <c r="E12" s="5" t="s">
        <v>72</v>
      </c>
      <c r="F12" s="90" t="s">
        <v>287</v>
      </c>
      <c r="G12" s="7">
        <v>50000</v>
      </c>
      <c r="H12" s="92">
        <v>50000</v>
      </c>
      <c r="I12" s="102">
        <f t="shared" si="1"/>
        <v>42500</v>
      </c>
    </row>
    <row r="13" spans="2:10" ht="93" customHeight="1" thickBot="1">
      <c r="B13" s="246"/>
      <c r="C13" s="27" t="s">
        <v>68</v>
      </c>
      <c r="D13" s="3" t="s">
        <v>69</v>
      </c>
      <c r="E13" s="5" t="s">
        <v>275</v>
      </c>
      <c r="F13" s="90" t="s">
        <v>288</v>
      </c>
      <c r="G13" s="7">
        <v>145000</v>
      </c>
      <c r="H13" s="92">
        <f t="shared" si="0"/>
        <v>156600</v>
      </c>
      <c r="I13" s="102">
        <f t="shared" si="1"/>
        <v>133110</v>
      </c>
    </row>
    <row r="14" spans="2:10" ht="74.25" customHeight="1" thickBot="1">
      <c r="B14" s="247"/>
      <c r="C14" s="27" t="s">
        <v>269</v>
      </c>
      <c r="D14" s="3" t="s">
        <v>69</v>
      </c>
      <c r="E14" s="5" t="s">
        <v>72</v>
      </c>
      <c r="F14" s="90" t="s">
        <v>289</v>
      </c>
      <c r="G14" s="7">
        <v>135000</v>
      </c>
      <c r="H14" s="92">
        <f t="shared" si="0"/>
        <v>145800</v>
      </c>
      <c r="I14" s="102">
        <f t="shared" si="1"/>
        <v>123930</v>
      </c>
    </row>
    <row r="15" spans="2:10" ht="93" customHeight="1" thickBot="1">
      <c r="B15" s="236" t="s">
        <v>73</v>
      </c>
      <c r="C15" s="88" t="s">
        <v>270</v>
      </c>
      <c r="D15" s="3" t="s">
        <v>75</v>
      </c>
      <c r="E15" s="5" t="s">
        <v>76</v>
      </c>
      <c r="F15" s="90" t="s">
        <v>290</v>
      </c>
      <c r="G15" s="7">
        <v>105000</v>
      </c>
      <c r="H15" s="112">
        <v>105000</v>
      </c>
      <c r="I15" s="102">
        <f t="shared" si="1"/>
        <v>89250</v>
      </c>
    </row>
    <row r="16" spans="2:10" ht="101.25" customHeight="1" thickBot="1">
      <c r="B16" s="237"/>
      <c r="C16" s="26" t="s">
        <v>271</v>
      </c>
      <c r="D16" s="3" t="s">
        <v>75</v>
      </c>
      <c r="E16" s="5" t="s">
        <v>76</v>
      </c>
      <c r="F16" s="90" t="s">
        <v>291</v>
      </c>
      <c r="G16" s="7">
        <v>105000</v>
      </c>
      <c r="H16" s="112">
        <v>105000</v>
      </c>
      <c r="I16" s="102">
        <f t="shared" si="1"/>
        <v>89250</v>
      </c>
    </row>
    <row r="17" spans="2:9" ht="93.75" customHeight="1" thickBot="1">
      <c r="B17" s="237"/>
      <c r="C17" s="26" t="s">
        <v>272</v>
      </c>
      <c r="D17" s="3" t="s">
        <v>75</v>
      </c>
      <c r="E17" s="5" t="s">
        <v>76</v>
      </c>
      <c r="F17" s="90" t="s">
        <v>292</v>
      </c>
      <c r="G17" s="7">
        <v>105000</v>
      </c>
      <c r="H17" s="112">
        <v>105000</v>
      </c>
      <c r="I17" s="102">
        <f t="shared" si="1"/>
        <v>89250</v>
      </c>
    </row>
    <row r="18" spans="2:9" ht="94.5" customHeight="1" thickBot="1">
      <c r="B18" s="237"/>
      <c r="C18" s="26" t="s">
        <v>273</v>
      </c>
      <c r="D18" s="3" t="s">
        <v>75</v>
      </c>
      <c r="E18" s="5" t="s">
        <v>76</v>
      </c>
      <c r="F18" s="90" t="s">
        <v>293</v>
      </c>
      <c r="G18" s="7">
        <v>150000</v>
      </c>
      <c r="H18" s="112">
        <v>105000</v>
      </c>
      <c r="I18" s="102">
        <f t="shared" si="1"/>
        <v>89250</v>
      </c>
    </row>
    <row r="19" spans="2:9" ht="78" customHeight="1" thickBot="1">
      <c r="B19" s="238"/>
      <c r="C19" s="41" t="s">
        <v>18</v>
      </c>
      <c r="D19" s="20" t="s">
        <v>75</v>
      </c>
      <c r="E19" s="21" t="s">
        <v>79</v>
      </c>
      <c r="F19" s="90" t="s">
        <v>294</v>
      </c>
      <c r="G19" s="23">
        <v>95000</v>
      </c>
      <c r="H19" s="92">
        <v>95000</v>
      </c>
      <c r="I19" s="102">
        <f t="shared" si="1"/>
        <v>80750</v>
      </c>
    </row>
    <row r="20" spans="2:9" ht="78.75" customHeight="1" thickBot="1">
      <c r="B20" s="239" t="s">
        <v>80</v>
      </c>
      <c r="C20" s="26" t="s">
        <v>81</v>
      </c>
      <c r="D20" s="10" t="s">
        <v>82</v>
      </c>
      <c r="E20" s="11" t="s">
        <v>83</v>
      </c>
      <c r="F20" s="90" t="s">
        <v>295</v>
      </c>
      <c r="G20" s="13">
        <v>225000</v>
      </c>
      <c r="H20" s="92">
        <f t="shared" si="0"/>
        <v>243000</v>
      </c>
      <c r="I20" s="102">
        <f t="shared" si="1"/>
        <v>206550</v>
      </c>
    </row>
    <row r="21" spans="2:9" ht="78.75" customHeight="1" thickBot="1">
      <c r="B21" s="240"/>
      <c r="C21" s="27" t="s">
        <v>278</v>
      </c>
      <c r="D21" s="3" t="s">
        <v>85</v>
      </c>
      <c r="E21" s="5" t="s">
        <v>83</v>
      </c>
      <c r="F21" s="90" t="s">
        <v>296</v>
      </c>
      <c r="G21" s="7">
        <v>188000</v>
      </c>
      <c r="H21" s="92">
        <f t="shared" si="0"/>
        <v>203040</v>
      </c>
      <c r="I21" s="102">
        <f t="shared" si="1"/>
        <v>172584</v>
      </c>
    </row>
    <row r="22" spans="2:9" ht="78.75" customHeight="1" thickBot="1">
      <c r="B22" s="241"/>
      <c r="C22" s="29" t="s">
        <v>279</v>
      </c>
      <c r="D22" s="30" t="s">
        <v>82</v>
      </c>
      <c r="E22" s="31" t="s">
        <v>87</v>
      </c>
      <c r="F22" s="90" t="s">
        <v>297</v>
      </c>
      <c r="G22" s="33">
        <v>188000</v>
      </c>
      <c r="H22" s="92">
        <f t="shared" si="0"/>
        <v>203040</v>
      </c>
      <c r="I22" s="102">
        <f t="shared" si="1"/>
        <v>172584</v>
      </c>
    </row>
    <row r="23" spans="2:9" ht="78.75" customHeight="1" thickBot="1">
      <c r="B23" s="241"/>
      <c r="C23" s="29" t="s">
        <v>276</v>
      </c>
      <c r="D23" s="30" t="s">
        <v>82</v>
      </c>
      <c r="E23" s="31" t="s">
        <v>87</v>
      </c>
      <c r="F23" s="90" t="s">
        <v>298</v>
      </c>
      <c r="G23" s="33">
        <v>188000</v>
      </c>
      <c r="H23" s="92">
        <f>G23+(G23*0.1)</f>
        <v>206800</v>
      </c>
      <c r="I23" s="102">
        <f t="shared" si="1"/>
        <v>175780</v>
      </c>
    </row>
    <row r="24" spans="2:9" ht="78.75" customHeight="1" thickBot="1">
      <c r="B24" s="241"/>
      <c r="C24" s="29" t="s">
        <v>280</v>
      </c>
      <c r="D24" s="30" t="s">
        <v>82</v>
      </c>
      <c r="E24" s="31" t="s">
        <v>87</v>
      </c>
      <c r="F24" s="90" t="s">
        <v>299</v>
      </c>
      <c r="G24" s="33">
        <v>188000</v>
      </c>
      <c r="H24" s="92">
        <f>G24+(G24*0.15)</f>
        <v>216200</v>
      </c>
      <c r="I24" s="102">
        <f t="shared" si="1"/>
        <v>183770</v>
      </c>
    </row>
    <row r="25" spans="2:9" ht="78.75" customHeight="1" thickBot="1">
      <c r="B25" s="241"/>
      <c r="C25" s="29" t="s">
        <v>281</v>
      </c>
      <c r="D25" s="30" t="s">
        <v>82</v>
      </c>
      <c r="E25" s="31" t="s">
        <v>87</v>
      </c>
      <c r="F25" s="90" t="s">
        <v>300</v>
      </c>
      <c r="G25" s="89" t="s">
        <v>277</v>
      </c>
      <c r="H25" s="92" t="e">
        <f t="shared" si="0"/>
        <v>#VALUE!</v>
      </c>
      <c r="I25" s="102" t="e">
        <f t="shared" si="1"/>
        <v>#VALUE!</v>
      </c>
    </row>
    <row r="26" spans="2:9" ht="60" customHeight="1" thickBot="1">
      <c r="B26" s="232" t="s">
        <v>88</v>
      </c>
      <c r="C26" s="35" t="s">
        <v>89</v>
      </c>
      <c r="D26" s="36" t="s">
        <v>90</v>
      </c>
      <c r="E26" s="16" t="s">
        <v>91</v>
      </c>
      <c r="F26" s="90" t="s">
        <v>301</v>
      </c>
      <c r="G26" s="37">
        <v>98000</v>
      </c>
      <c r="H26" s="92">
        <f>G26+(G26*0.05)</f>
        <v>102900</v>
      </c>
      <c r="I26" s="102">
        <f t="shared" si="1"/>
        <v>87465</v>
      </c>
    </row>
    <row r="27" spans="2:9" ht="60" customHeight="1" thickBot="1">
      <c r="B27" s="233"/>
      <c r="C27" s="28" t="s">
        <v>97</v>
      </c>
      <c r="D27" s="3" t="s">
        <v>93</v>
      </c>
      <c r="E27" s="5" t="s">
        <v>91</v>
      </c>
      <c r="F27" s="90" t="s">
        <v>302</v>
      </c>
      <c r="G27" s="9">
        <v>445000</v>
      </c>
      <c r="H27" s="92">
        <f t="shared" ref="H27:H90" si="2">G27+(G27*0.05)</f>
        <v>467250</v>
      </c>
      <c r="I27" s="102">
        <f t="shared" si="1"/>
        <v>397162.5</v>
      </c>
    </row>
    <row r="28" spans="2:9" ht="60" customHeight="1" thickBot="1">
      <c r="B28" s="233"/>
      <c r="C28" s="28" t="s">
        <v>99</v>
      </c>
      <c r="D28" s="3" t="s">
        <v>100</v>
      </c>
      <c r="E28" s="5" t="s">
        <v>91</v>
      </c>
      <c r="F28" s="90" t="s">
        <v>303</v>
      </c>
      <c r="G28" s="9">
        <v>115000</v>
      </c>
      <c r="H28" s="92">
        <f t="shared" si="2"/>
        <v>120750</v>
      </c>
      <c r="I28" s="102">
        <f t="shared" si="1"/>
        <v>102637.5</v>
      </c>
    </row>
    <row r="29" spans="2:9" ht="60" customHeight="1" thickBot="1">
      <c r="B29" s="233"/>
      <c r="C29" s="28" t="s">
        <v>101</v>
      </c>
      <c r="D29" s="3" t="s">
        <v>102</v>
      </c>
      <c r="E29" s="5" t="s">
        <v>91</v>
      </c>
      <c r="F29" s="90" t="s">
        <v>304</v>
      </c>
      <c r="G29" s="9">
        <v>82000</v>
      </c>
      <c r="H29" s="92">
        <f t="shared" si="2"/>
        <v>86100</v>
      </c>
      <c r="I29" s="102">
        <f t="shared" si="1"/>
        <v>73185</v>
      </c>
    </row>
    <row r="30" spans="2:9" ht="60" customHeight="1" thickBot="1">
      <c r="B30" s="233"/>
      <c r="C30" s="28" t="s">
        <v>103</v>
      </c>
      <c r="D30" s="2" t="s">
        <v>104</v>
      </c>
      <c r="E30" s="5" t="s">
        <v>91</v>
      </c>
      <c r="F30" s="90" t="s">
        <v>305</v>
      </c>
      <c r="G30" s="9">
        <v>120000</v>
      </c>
      <c r="H30" s="92">
        <f t="shared" si="2"/>
        <v>126000</v>
      </c>
      <c r="I30" s="102">
        <f t="shared" si="1"/>
        <v>107100</v>
      </c>
    </row>
    <row r="31" spans="2:9" ht="60" customHeight="1" thickBot="1">
      <c r="B31" s="233"/>
      <c r="C31" s="28" t="s">
        <v>105</v>
      </c>
      <c r="D31" s="2" t="s">
        <v>106</v>
      </c>
      <c r="E31" s="5" t="s">
        <v>91</v>
      </c>
      <c r="F31" s="90" t="s">
        <v>306</v>
      </c>
      <c r="G31" s="9">
        <v>110000</v>
      </c>
      <c r="H31" s="92">
        <f t="shared" si="2"/>
        <v>115500</v>
      </c>
      <c r="I31" s="102">
        <f t="shared" si="1"/>
        <v>98175</v>
      </c>
    </row>
    <row r="32" spans="2:9" ht="60" customHeight="1" thickBot="1">
      <c r="B32" s="233"/>
      <c r="C32" s="28" t="s">
        <v>107</v>
      </c>
      <c r="D32" s="3" t="s">
        <v>108</v>
      </c>
      <c r="E32" s="5" t="s">
        <v>91</v>
      </c>
      <c r="F32" s="90" t="s">
        <v>307</v>
      </c>
      <c r="G32" s="9">
        <v>110000</v>
      </c>
      <c r="H32" s="92">
        <f t="shared" si="2"/>
        <v>115500</v>
      </c>
      <c r="I32" s="102">
        <f t="shared" si="1"/>
        <v>98175</v>
      </c>
    </row>
    <row r="33" spans="2:9" ht="60" customHeight="1" thickBot="1">
      <c r="B33" s="233"/>
      <c r="C33" s="28" t="s">
        <v>109</v>
      </c>
      <c r="D33" s="3" t="s">
        <v>110</v>
      </c>
      <c r="E33" s="5" t="s">
        <v>91</v>
      </c>
      <c r="F33" s="90" t="s">
        <v>308</v>
      </c>
      <c r="G33" s="9">
        <v>138000</v>
      </c>
      <c r="H33" s="92">
        <f t="shared" si="2"/>
        <v>144900</v>
      </c>
      <c r="I33" s="102">
        <f t="shared" si="1"/>
        <v>123165</v>
      </c>
    </row>
    <row r="34" spans="2:9" ht="60" customHeight="1" thickBot="1">
      <c r="B34" s="233"/>
      <c r="C34" s="28" t="s">
        <v>111</v>
      </c>
      <c r="D34" s="3" t="s">
        <v>69</v>
      </c>
      <c r="E34" s="5" t="s">
        <v>91</v>
      </c>
      <c r="F34" s="90" t="s">
        <v>309</v>
      </c>
      <c r="G34" s="9">
        <v>95000</v>
      </c>
      <c r="H34" s="92">
        <f t="shared" si="2"/>
        <v>99750</v>
      </c>
      <c r="I34" s="102">
        <f t="shared" si="1"/>
        <v>84787.5</v>
      </c>
    </row>
    <row r="35" spans="2:9" ht="60" customHeight="1" thickBot="1">
      <c r="B35" s="233"/>
      <c r="C35" s="28" t="s">
        <v>113</v>
      </c>
      <c r="D35" s="3" t="s">
        <v>69</v>
      </c>
      <c r="E35" s="5" t="s">
        <v>91</v>
      </c>
      <c r="F35" s="90" t="s">
        <v>310</v>
      </c>
      <c r="G35" s="9">
        <v>95000</v>
      </c>
      <c r="H35" s="92">
        <f t="shared" si="2"/>
        <v>99750</v>
      </c>
      <c r="I35" s="102">
        <f t="shared" si="1"/>
        <v>84787.5</v>
      </c>
    </row>
    <row r="36" spans="2:9" ht="60" customHeight="1" thickBot="1">
      <c r="B36" s="233"/>
      <c r="C36" s="28" t="s">
        <v>115</v>
      </c>
      <c r="D36" s="3" t="s">
        <v>116</v>
      </c>
      <c r="E36" s="5" t="s">
        <v>91</v>
      </c>
      <c r="F36" s="90" t="s">
        <v>311</v>
      </c>
      <c r="G36" s="7">
        <v>225000</v>
      </c>
      <c r="H36" s="92">
        <f t="shared" si="2"/>
        <v>236250</v>
      </c>
      <c r="I36" s="102">
        <f t="shared" si="1"/>
        <v>200812.5</v>
      </c>
    </row>
    <row r="37" spans="2:9" ht="60" customHeight="1" thickBot="1">
      <c r="B37" s="233"/>
      <c r="C37" s="28" t="s">
        <v>117</v>
      </c>
      <c r="D37" s="3" t="s">
        <v>118</v>
      </c>
      <c r="E37" s="5" t="s">
        <v>91</v>
      </c>
      <c r="F37" s="90" t="s">
        <v>312</v>
      </c>
      <c r="G37" s="7">
        <v>180000</v>
      </c>
      <c r="H37" s="92">
        <f t="shared" si="2"/>
        <v>189000</v>
      </c>
      <c r="I37" s="102">
        <f t="shared" si="1"/>
        <v>160650</v>
      </c>
    </row>
    <row r="38" spans="2:9" ht="60" customHeight="1" thickBot="1">
      <c r="B38" s="233"/>
      <c r="C38" s="28" t="s">
        <v>119</v>
      </c>
      <c r="D38" s="3" t="s">
        <v>120</v>
      </c>
      <c r="E38" s="5" t="s">
        <v>91</v>
      </c>
      <c r="F38" s="90" t="s">
        <v>313</v>
      </c>
      <c r="G38" s="7">
        <v>120000</v>
      </c>
      <c r="H38" s="92">
        <f t="shared" si="2"/>
        <v>126000</v>
      </c>
      <c r="I38" s="102">
        <f t="shared" si="1"/>
        <v>107100</v>
      </c>
    </row>
    <row r="39" spans="2:9" ht="60" customHeight="1" thickBot="1">
      <c r="B39" s="233"/>
      <c r="C39" s="28" t="s">
        <v>121</v>
      </c>
      <c r="D39" s="2" t="s">
        <v>90</v>
      </c>
      <c r="E39" s="5" t="s">
        <v>91</v>
      </c>
      <c r="F39" s="90" t="s">
        <v>314</v>
      </c>
      <c r="G39" s="7">
        <v>118000</v>
      </c>
      <c r="H39" s="92">
        <f t="shared" si="2"/>
        <v>123900</v>
      </c>
      <c r="I39" s="102">
        <f t="shared" si="1"/>
        <v>105315</v>
      </c>
    </row>
    <row r="40" spans="2:9" ht="60" customHeight="1" thickBot="1">
      <c r="B40" s="233"/>
      <c r="C40" s="28" t="s">
        <v>122</v>
      </c>
      <c r="D40" s="3" t="s">
        <v>123</v>
      </c>
      <c r="E40" s="5" t="s">
        <v>91</v>
      </c>
      <c r="F40" s="90" t="s">
        <v>315</v>
      </c>
      <c r="G40" s="7">
        <v>130000</v>
      </c>
      <c r="H40" s="92">
        <f t="shared" si="2"/>
        <v>136500</v>
      </c>
      <c r="I40" s="102">
        <f t="shared" si="1"/>
        <v>116025</v>
      </c>
    </row>
    <row r="41" spans="2:9" ht="60" customHeight="1" thickBot="1">
      <c r="B41" s="233"/>
      <c r="C41" s="28" t="s">
        <v>124</v>
      </c>
      <c r="D41" s="3" t="s">
        <v>125</v>
      </c>
      <c r="E41" s="5" t="s">
        <v>91</v>
      </c>
      <c r="F41" s="90" t="s">
        <v>316</v>
      </c>
      <c r="G41" s="7">
        <v>13300</v>
      </c>
      <c r="H41" s="92">
        <f t="shared" si="2"/>
        <v>13965</v>
      </c>
      <c r="I41" s="102">
        <f t="shared" si="1"/>
        <v>11870.25</v>
      </c>
    </row>
    <row r="42" spans="2:9" ht="60" customHeight="1" thickBot="1">
      <c r="B42" s="233"/>
      <c r="C42" s="28" t="s">
        <v>126</v>
      </c>
      <c r="D42" s="3" t="s">
        <v>93</v>
      </c>
      <c r="E42" s="5" t="s">
        <v>91</v>
      </c>
      <c r="F42" s="90" t="s">
        <v>317</v>
      </c>
      <c r="G42" s="9">
        <v>445000</v>
      </c>
      <c r="H42" s="92">
        <f t="shared" si="2"/>
        <v>467250</v>
      </c>
      <c r="I42" s="102">
        <f t="shared" si="1"/>
        <v>397162.5</v>
      </c>
    </row>
    <row r="43" spans="2:9" ht="60" customHeight="1" thickBot="1">
      <c r="B43" s="233"/>
      <c r="C43" s="28" t="s">
        <v>127</v>
      </c>
      <c r="D43" s="3" t="s">
        <v>69</v>
      </c>
      <c r="E43" s="5" t="s">
        <v>91</v>
      </c>
      <c r="F43" s="90" t="s">
        <v>318</v>
      </c>
      <c r="G43" s="7">
        <v>225000</v>
      </c>
      <c r="H43" s="92">
        <f t="shared" si="2"/>
        <v>236250</v>
      </c>
      <c r="I43" s="102">
        <f t="shared" si="1"/>
        <v>200812.5</v>
      </c>
    </row>
    <row r="44" spans="2:9" ht="60" customHeight="1" thickBot="1">
      <c r="B44" s="233"/>
      <c r="C44" s="28" t="s">
        <v>128</v>
      </c>
      <c r="D44" s="3" t="s">
        <v>129</v>
      </c>
      <c r="E44" s="5" t="s">
        <v>91</v>
      </c>
      <c r="F44" s="90" t="s">
        <v>319</v>
      </c>
      <c r="G44" s="7">
        <v>195000</v>
      </c>
      <c r="H44" s="92">
        <f t="shared" si="2"/>
        <v>204750</v>
      </c>
      <c r="I44" s="102">
        <f t="shared" si="1"/>
        <v>174037.5</v>
      </c>
    </row>
    <row r="45" spans="2:9" ht="60" customHeight="1" thickBot="1">
      <c r="B45" s="233"/>
      <c r="C45" s="28" t="s">
        <v>131</v>
      </c>
      <c r="D45" s="3" t="s">
        <v>132</v>
      </c>
      <c r="E45" s="5" t="s">
        <v>91</v>
      </c>
      <c r="F45" s="90" t="s">
        <v>320</v>
      </c>
      <c r="G45" s="7">
        <v>225000</v>
      </c>
      <c r="H45" s="92">
        <f t="shared" si="2"/>
        <v>236250</v>
      </c>
      <c r="I45" s="102">
        <f t="shared" si="1"/>
        <v>200812.5</v>
      </c>
    </row>
    <row r="46" spans="2:9" ht="60" customHeight="1" thickBot="1">
      <c r="B46" s="233"/>
      <c r="C46" s="28" t="s">
        <v>133</v>
      </c>
      <c r="D46" s="3" t="s">
        <v>134</v>
      </c>
      <c r="E46" s="5" t="s">
        <v>91</v>
      </c>
      <c r="F46" s="90" t="s">
        <v>321</v>
      </c>
      <c r="G46" s="7">
        <v>270000</v>
      </c>
      <c r="H46" s="92">
        <f t="shared" si="2"/>
        <v>283500</v>
      </c>
      <c r="I46" s="102">
        <f t="shared" si="1"/>
        <v>240975</v>
      </c>
    </row>
    <row r="47" spans="2:9" ht="60" customHeight="1" thickBot="1">
      <c r="B47" s="233"/>
      <c r="C47" s="28" t="s">
        <v>135</v>
      </c>
      <c r="D47" s="3" t="s">
        <v>136</v>
      </c>
      <c r="E47" s="5" t="s">
        <v>91</v>
      </c>
      <c r="F47" s="90" t="s">
        <v>322</v>
      </c>
      <c r="G47" s="9">
        <v>135000</v>
      </c>
      <c r="H47" s="92">
        <f t="shared" si="2"/>
        <v>141750</v>
      </c>
      <c r="I47" s="102">
        <f t="shared" si="1"/>
        <v>120487.5</v>
      </c>
    </row>
    <row r="48" spans="2:9" ht="60" customHeight="1" thickBot="1">
      <c r="B48" s="233"/>
      <c r="C48" s="28" t="s">
        <v>137</v>
      </c>
      <c r="D48" s="3" t="s">
        <v>138</v>
      </c>
      <c r="E48" s="5" t="s">
        <v>91</v>
      </c>
      <c r="F48" s="90" t="s">
        <v>323</v>
      </c>
      <c r="G48" s="9">
        <v>550000</v>
      </c>
      <c r="H48" s="92">
        <f t="shared" si="2"/>
        <v>577500</v>
      </c>
      <c r="I48" s="102">
        <f t="shared" si="1"/>
        <v>490875</v>
      </c>
    </row>
    <row r="49" spans="2:9" ht="60" customHeight="1" thickBot="1">
      <c r="B49" s="233"/>
      <c r="C49" s="28" t="s">
        <v>139</v>
      </c>
      <c r="D49" s="3" t="s">
        <v>140</v>
      </c>
      <c r="E49" s="5" t="s">
        <v>91</v>
      </c>
      <c r="F49" s="90" t="s">
        <v>324</v>
      </c>
      <c r="G49" s="9">
        <v>260000</v>
      </c>
      <c r="H49" s="92">
        <f t="shared" si="2"/>
        <v>273000</v>
      </c>
      <c r="I49" s="102">
        <f t="shared" si="1"/>
        <v>232050</v>
      </c>
    </row>
    <row r="50" spans="2:9" ht="60" customHeight="1" thickBot="1">
      <c r="B50" s="233"/>
      <c r="C50" s="28" t="s">
        <v>143</v>
      </c>
      <c r="D50" s="3" t="s">
        <v>144</v>
      </c>
      <c r="E50" s="5" t="s">
        <v>91</v>
      </c>
      <c r="F50" s="90" t="s">
        <v>325</v>
      </c>
      <c r="G50" s="9">
        <v>180000</v>
      </c>
      <c r="H50" s="92">
        <f t="shared" si="2"/>
        <v>189000</v>
      </c>
      <c r="I50" s="102">
        <f t="shared" si="1"/>
        <v>160650</v>
      </c>
    </row>
    <row r="51" spans="2:9" ht="60" customHeight="1" thickBot="1">
      <c r="B51" s="233"/>
      <c r="C51" s="28" t="s">
        <v>145</v>
      </c>
      <c r="D51" s="3" t="s">
        <v>146</v>
      </c>
      <c r="E51" s="5" t="s">
        <v>91</v>
      </c>
      <c r="F51" s="90" t="s">
        <v>326</v>
      </c>
      <c r="G51" s="9">
        <v>185000</v>
      </c>
      <c r="H51" s="92">
        <f t="shared" si="2"/>
        <v>194250</v>
      </c>
      <c r="I51" s="102">
        <f t="shared" si="1"/>
        <v>165112.5</v>
      </c>
    </row>
    <row r="52" spans="2:9" ht="60" customHeight="1" thickBot="1">
      <c r="B52" s="233"/>
      <c r="C52" s="28" t="s">
        <v>150</v>
      </c>
      <c r="D52" s="3" t="s">
        <v>151</v>
      </c>
      <c r="E52" s="5" t="s">
        <v>91</v>
      </c>
      <c r="F52" s="90" t="s">
        <v>327</v>
      </c>
      <c r="G52" s="9">
        <v>180000</v>
      </c>
      <c r="H52" s="92">
        <f t="shared" si="2"/>
        <v>189000</v>
      </c>
      <c r="I52" s="102">
        <f t="shared" si="1"/>
        <v>160650</v>
      </c>
    </row>
    <row r="53" spans="2:9" ht="60" customHeight="1" thickBot="1">
      <c r="B53" s="233"/>
      <c r="C53" s="28" t="s">
        <v>152</v>
      </c>
      <c r="D53" s="3" t="s">
        <v>153</v>
      </c>
      <c r="E53" s="5" t="s">
        <v>91</v>
      </c>
      <c r="F53" s="90" t="s">
        <v>328</v>
      </c>
      <c r="G53" s="9">
        <v>180000</v>
      </c>
      <c r="H53" s="92">
        <f t="shared" si="2"/>
        <v>189000</v>
      </c>
      <c r="I53" s="102">
        <f t="shared" si="1"/>
        <v>160650</v>
      </c>
    </row>
    <row r="54" spans="2:9" ht="60" customHeight="1" thickBot="1">
      <c r="B54" s="233"/>
      <c r="C54" s="28" t="s">
        <v>154</v>
      </c>
      <c r="D54" s="3" t="s">
        <v>69</v>
      </c>
      <c r="E54" s="5" t="s">
        <v>91</v>
      </c>
      <c r="F54" s="90" t="s">
        <v>329</v>
      </c>
      <c r="G54" s="9">
        <v>105000</v>
      </c>
      <c r="H54" s="92">
        <f t="shared" si="2"/>
        <v>110250</v>
      </c>
      <c r="I54" s="102">
        <f t="shared" si="1"/>
        <v>93712.5</v>
      </c>
    </row>
    <row r="55" spans="2:9" ht="60" customHeight="1" thickBot="1">
      <c r="B55" s="233"/>
      <c r="C55" s="28" t="s">
        <v>155</v>
      </c>
      <c r="D55" s="3" t="s">
        <v>156</v>
      </c>
      <c r="E55" s="5" t="s">
        <v>91</v>
      </c>
      <c r="F55" s="90" t="s">
        <v>330</v>
      </c>
      <c r="G55" s="9">
        <v>185000</v>
      </c>
      <c r="H55" s="92">
        <f t="shared" si="2"/>
        <v>194250</v>
      </c>
      <c r="I55" s="102">
        <f t="shared" si="1"/>
        <v>165112.5</v>
      </c>
    </row>
    <row r="56" spans="2:9" ht="46.5" customHeight="1" thickBot="1">
      <c r="B56" s="233"/>
      <c r="C56" s="28" t="s">
        <v>157</v>
      </c>
      <c r="D56" s="3" t="s">
        <v>156</v>
      </c>
      <c r="E56" s="5" t="s">
        <v>91</v>
      </c>
      <c r="F56" s="90" t="s">
        <v>331</v>
      </c>
      <c r="G56" s="9">
        <v>135000</v>
      </c>
      <c r="H56" s="92">
        <f t="shared" si="2"/>
        <v>141750</v>
      </c>
      <c r="I56" s="102">
        <f t="shared" si="1"/>
        <v>120487.5</v>
      </c>
    </row>
    <row r="57" spans="2:9" ht="43.5" customHeight="1" thickBot="1">
      <c r="B57" s="233"/>
      <c r="C57" s="28" t="s">
        <v>158</v>
      </c>
      <c r="D57" s="3" t="s">
        <v>156</v>
      </c>
      <c r="E57" s="5" t="s">
        <v>91</v>
      </c>
      <c r="F57" s="90" t="s">
        <v>332</v>
      </c>
      <c r="G57" s="7">
        <v>154000</v>
      </c>
      <c r="H57" s="92">
        <f t="shared" si="2"/>
        <v>161700</v>
      </c>
      <c r="I57" s="102">
        <f t="shared" si="1"/>
        <v>137445</v>
      </c>
    </row>
    <row r="58" spans="2:9" ht="60" customHeight="1" thickBot="1">
      <c r="B58" s="233"/>
      <c r="C58" s="28" t="s">
        <v>159</v>
      </c>
      <c r="D58" s="2" t="s">
        <v>160</v>
      </c>
      <c r="E58" s="5" t="s">
        <v>91</v>
      </c>
      <c r="F58" s="90" t="s">
        <v>333</v>
      </c>
      <c r="G58" s="7">
        <v>154000</v>
      </c>
      <c r="H58" s="92">
        <f t="shared" si="2"/>
        <v>161700</v>
      </c>
      <c r="I58" s="102">
        <f t="shared" si="1"/>
        <v>137445</v>
      </c>
    </row>
    <row r="59" spans="2:9" ht="81" customHeight="1" thickBot="1">
      <c r="B59" s="233"/>
      <c r="C59" s="28" t="s">
        <v>161</v>
      </c>
      <c r="D59" s="42" t="s">
        <v>162</v>
      </c>
      <c r="E59" s="5" t="s">
        <v>163</v>
      </c>
      <c r="F59" s="90" t="s">
        <v>334</v>
      </c>
      <c r="G59" s="7">
        <v>550000</v>
      </c>
      <c r="H59" s="92">
        <f t="shared" si="2"/>
        <v>577500</v>
      </c>
      <c r="I59" s="102">
        <f t="shared" si="1"/>
        <v>490875</v>
      </c>
    </row>
    <row r="60" spans="2:9" ht="60" customHeight="1" thickBot="1">
      <c r="B60" s="233"/>
      <c r="C60" s="28" t="s">
        <v>164</v>
      </c>
      <c r="D60" s="3" t="s">
        <v>156</v>
      </c>
      <c r="E60" s="5" t="s">
        <v>91</v>
      </c>
      <c r="F60" s="90" t="s">
        <v>335</v>
      </c>
      <c r="G60" s="9">
        <v>135000</v>
      </c>
      <c r="H60" s="92">
        <f t="shared" si="2"/>
        <v>141750</v>
      </c>
      <c r="I60" s="102">
        <f t="shared" si="1"/>
        <v>120487.5</v>
      </c>
    </row>
    <row r="61" spans="2:9" ht="60" customHeight="1" thickBot="1">
      <c r="B61" s="233"/>
      <c r="C61" s="28" t="s">
        <v>165</v>
      </c>
      <c r="D61" s="3" t="s">
        <v>166</v>
      </c>
      <c r="E61" s="5" t="s">
        <v>91</v>
      </c>
      <c r="F61" s="90" t="s">
        <v>336</v>
      </c>
      <c r="G61" s="7">
        <v>85000</v>
      </c>
      <c r="H61" s="92">
        <f t="shared" si="2"/>
        <v>89250</v>
      </c>
      <c r="I61" s="102">
        <f t="shared" si="1"/>
        <v>75862.5</v>
      </c>
    </row>
    <row r="62" spans="2:9" ht="60" customHeight="1" thickBot="1">
      <c r="B62" s="233"/>
      <c r="C62" s="28" t="s">
        <v>167</v>
      </c>
      <c r="D62" s="3" t="s">
        <v>166</v>
      </c>
      <c r="E62" s="5" t="s">
        <v>91</v>
      </c>
      <c r="F62" s="90" t="s">
        <v>337</v>
      </c>
      <c r="G62" s="7">
        <v>145000</v>
      </c>
      <c r="H62" s="92">
        <f t="shared" si="2"/>
        <v>152250</v>
      </c>
      <c r="I62" s="102">
        <f t="shared" si="1"/>
        <v>129412.5</v>
      </c>
    </row>
    <row r="63" spans="2:9" ht="60" customHeight="1" thickBot="1">
      <c r="B63" s="233"/>
      <c r="C63" s="28" t="s">
        <v>168</v>
      </c>
      <c r="D63" s="3" t="s">
        <v>93</v>
      </c>
      <c r="E63" s="5" t="s">
        <v>91</v>
      </c>
      <c r="F63" s="90" t="s">
        <v>338</v>
      </c>
      <c r="G63" s="9">
        <v>445000</v>
      </c>
      <c r="H63" s="92">
        <f t="shared" si="2"/>
        <v>467250</v>
      </c>
      <c r="I63" s="102">
        <f t="shared" si="1"/>
        <v>397162.5</v>
      </c>
    </row>
    <row r="64" spans="2:9" ht="60" customHeight="1" thickBot="1">
      <c r="B64" s="233"/>
      <c r="C64" s="28" t="s">
        <v>169</v>
      </c>
      <c r="D64" s="3" t="s">
        <v>170</v>
      </c>
      <c r="E64" s="5" t="s">
        <v>91</v>
      </c>
      <c r="F64" s="90" t="s">
        <v>339</v>
      </c>
      <c r="G64" s="7">
        <v>95000</v>
      </c>
      <c r="H64" s="92">
        <f t="shared" si="2"/>
        <v>99750</v>
      </c>
      <c r="I64" s="102">
        <f t="shared" si="1"/>
        <v>84787.5</v>
      </c>
    </row>
    <row r="65" spans="2:9" ht="60" customHeight="1" thickBot="1">
      <c r="B65" s="233"/>
      <c r="C65" s="28" t="s">
        <v>171</v>
      </c>
      <c r="D65" s="2" t="s">
        <v>116</v>
      </c>
      <c r="E65" s="5" t="s">
        <v>91</v>
      </c>
      <c r="F65" s="90" t="s">
        <v>340</v>
      </c>
      <c r="G65" s="7">
        <v>118000</v>
      </c>
      <c r="H65" s="92">
        <f t="shared" si="2"/>
        <v>123900</v>
      </c>
      <c r="I65" s="102">
        <f t="shared" si="1"/>
        <v>105315</v>
      </c>
    </row>
    <row r="66" spans="2:9" ht="60" customHeight="1" thickBot="1">
      <c r="B66" s="233"/>
      <c r="C66" s="28" t="s">
        <v>172</v>
      </c>
      <c r="D66" s="3" t="s">
        <v>173</v>
      </c>
      <c r="E66" s="5" t="s">
        <v>91</v>
      </c>
      <c r="F66" s="90" t="s">
        <v>341</v>
      </c>
      <c r="G66" s="7">
        <v>295000</v>
      </c>
      <c r="H66" s="92">
        <f t="shared" si="2"/>
        <v>309750</v>
      </c>
      <c r="I66" s="102">
        <f t="shared" si="1"/>
        <v>263287.5</v>
      </c>
    </row>
    <row r="67" spans="2:9" ht="38.25" customHeight="1" thickBot="1">
      <c r="B67" s="233"/>
      <c r="C67" s="28" t="s">
        <v>174</v>
      </c>
      <c r="D67" s="3" t="s">
        <v>175</v>
      </c>
      <c r="E67" s="5" t="s">
        <v>91</v>
      </c>
      <c r="F67" s="90" t="s">
        <v>342</v>
      </c>
      <c r="G67" s="9">
        <v>120000</v>
      </c>
      <c r="H67" s="92">
        <f t="shared" si="2"/>
        <v>126000</v>
      </c>
      <c r="I67" s="102">
        <f t="shared" si="1"/>
        <v>107100</v>
      </c>
    </row>
    <row r="68" spans="2:9" ht="38.25" customHeight="1" thickBot="1">
      <c r="B68" s="233"/>
      <c r="C68" s="28" t="s">
        <v>176</v>
      </c>
      <c r="D68" s="3" t="s">
        <v>175</v>
      </c>
      <c r="E68" s="5" t="s">
        <v>91</v>
      </c>
      <c r="F68" s="90" t="s">
        <v>343</v>
      </c>
      <c r="G68" s="9">
        <v>170000</v>
      </c>
      <c r="H68" s="92">
        <f t="shared" si="2"/>
        <v>178500</v>
      </c>
      <c r="I68" s="102">
        <f t="shared" si="1"/>
        <v>151725</v>
      </c>
    </row>
    <row r="69" spans="2:9" ht="60" customHeight="1" thickBot="1">
      <c r="B69" s="233"/>
      <c r="C69" s="28" t="s">
        <v>177</v>
      </c>
      <c r="D69" s="3" t="s">
        <v>175</v>
      </c>
      <c r="E69" s="5" t="s">
        <v>91</v>
      </c>
      <c r="F69" s="90" t="s">
        <v>344</v>
      </c>
      <c r="G69" s="9">
        <v>301000</v>
      </c>
      <c r="H69" s="92">
        <f t="shared" si="2"/>
        <v>316050</v>
      </c>
      <c r="I69" s="102">
        <f t="shared" si="1"/>
        <v>268642.5</v>
      </c>
    </row>
    <row r="70" spans="2:9" ht="51.75" customHeight="1" thickBot="1">
      <c r="B70" s="233"/>
      <c r="C70" s="28" t="s">
        <v>178</v>
      </c>
      <c r="D70" s="3" t="s">
        <v>179</v>
      </c>
      <c r="E70" s="5" t="s">
        <v>91</v>
      </c>
      <c r="F70" s="90" t="s">
        <v>345</v>
      </c>
      <c r="G70" s="9">
        <v>180000</v>
      </c>
      <c r="H70" s="92">
        <f t="shared" si="2"/>
        <v>189000</v>
      </c>
      <c r="I70" s="102">
        <f t="shared" si="1"/>
        <v>160650</v>
      </c>
    </row>
    <row r="71" spans="2:9" ht="43.5" customHeight="1" thickBot="1">
      <c r="B71" s="233"/>
      <c r="C71" s="28" t="s">
        <v>180</v>
      </c>
      <c r="D71" s="3" t="s">
        <v>116</v>
      </c>
      <c r="E71" s="5" t="s">
        <v>91</v>
      </c>
      <c r="F71" s="90" t="s">
        <v>346</v>
      </c>
      <c r="G71" s="9" t="s">
        <v>147</v>
      </c>
      <c r="H71" s="92">
        <f t="shared" si="2"/>
        <v>181125</v>
      </c>
      <c r="I71" s="102">
        <f t="shared" si="1"/>
        <v>153956.25</v>
      </c>
    </row>
    <row r="72" spans="2:9" ht="60" customHeight="1" thickBot="1">
      <c r="B72" s="233"/>
      <c r="C72" s="28" t="s">
        <v>181</v>
      </c>
      <c r="D72" s="3" t="s">
        <v>182</v>
      </c>
      <c r="E72" s="5" t="s">
        <v>91</v>
      </c>
      <c r="F72" s="90" t="s">
        <v>347</v>
      </c>
      <c r="G72" s="9">
        <v>117000</v>
      </c>
      <c r="H72" s="92">
        <f t="shared" si="2"/>
        <v>122850</v>
      </c>
      <c r="I72" s="102">
        <f t="shared" ref="I72:I107" si="3">H72-(H72*0.15)</f>
        <v>104422.5</v>
      </c>
    </row>
    <row r="73" spans="2:9" ht="49.5" customHeight="1" thickBot="1">
      <c r="B73" s="233"/>
      <c r="C73" s="28" t="s">
        <v>183</v>
      </c>
      <c r="D73" s="3" t="s">
        <v>184</v>
      </c>
      <c r="E73" s="5" t="s">
        <v>91</v>
      </c>
      <c r="F73" s="90" t="s">
        <v>348</v>
      </c>
      <c r="G73" s="9">
        <v>140000</v>
      </c>
      <c r="H73" s="92">
        <f t="shared" si="2"/>
        <v>147000</v>
      </c>
      <c r="I73" s="102">
        <f t="shared" si="3"/>
        <v>124950</v>
      </c>
    </row>
    <row r="74" spans="2:9" ht="73.5" customHeight="1" thickBot="1">
      <c r="B74" s="233"/>
      <c r="C74" s="28" t="s">
        <v>187</v>
      </c>
      <c r="D74" s="3" t="s">
        <v>188</v>
      </c>
      <c r="E74" s="5" t="s">
        <v>91</v>
      </c>
      <c r="F74" s="90" t="s">
        <v>349</v>
      </c>
      <c r="G74" s="9">
        <v>480000</v>
      </c>
      <c r="H74" s="92">
        <f t="shared" si="2"/>
        <v>504000</v>
      </c>
      <c r="I74" s="102">
        <f t="shared" si="3"/>
        <v>428400</v>
      </c>
    </row>
    <row r="75" spans="2:9" ht="46.5" customHeight="1" thickBot="1">
      <c r="B75" s="233"/>
      <c r="C75" s="28" t="s">
        <v>189</v>
      </c>
      <c r="D75" s="3" t="s">
        <v>190</v>
      </c>
      <c r="E75" s="5" t="s">
        <v>91</v>
      </c>
      <c r="F75" s="90" t="s">
        <v>350</v>
      </c>
      <c r="G75" s="9">
        <v>198000</v>
      </c>
      <c r="H75" s="92">
        <f t="shared" si="2"/>
        <v>207900</v>
      </c>
      <c r="I75" s="102">
        <f t="shared" si="3"/>
        <v>176715</v>
      </c>
    </row>
    <row r="76" spans="2:9" ht="81.75" customHeight="1" thickBot="1">
      <c r="B76" s="233"/>
      <c r="C76" s="28" t="s">
        <v>191</v>
      </c>
      <c r="D76" s="3" t="s">
        <v>192</v>
      </c>
      <c r="E76" s="5" t="s">
        <v>91</v>
      </c>
      <c r="F76" s="90" t="s">
        <v>351</v>
      </c>
      <c r="G76" s="7">
        <v>250000</v>
      </c>
      <c r="H76" s="92">
        <f t="shared" si="2"/>
        <v>262500</v>
      </c>
      <c r="I76" s="102">
        <f t="shared" si="3"/>
        <v>223125</v>
      </c>
    </row>
    <row r="77" spans="2:9" ht="60" customHeight="1" thickBot="1">
      <c r="B77" s="233"/>
      <c r="C77" s="28" t="s">
        <v>193</v>
      </c>
      <c r="D77" s="3" t="s">
        <v>194</v>
      </c>
      <c r="E77" s="5" t="s">
        <v>91</v>
      </c>
      <c r="F77" s="90" t="s">
        <v>352</v>
      </c>
      <c r="G77" s="7">
        <v>190000</v>
      </c>
      <c r="H77" s="92">
        <f t="shared" si="2"/>
        <v>199500</v>
      </c>
      <c r="I77" s="102">
        <f t="shared" si="3"/>
        <v>169575</v>
      </c>
    </row>
    <row r="78" spans="2:9" ht="66" customHeight="1" thickBot="1">
      <c r="B78" s="233"/>
      <c r="C78" s="28" t="s">
        <v>195</v>
      </c>
      <c r="D78" s="3" t="s">
        <v>196</v>
      </c>
      <c r="E78" s="5" t="s">
        <v>91</v>
      </c>
      <c r="F78" s="90" t="s">
        <v>353</v>
      </c>
      <c r="G78" s="7">
        <v>230000</v>
      </c>
      <c r="H78" s="92">
        <f t="shared" si="2"/>
        <v>241500</v>
      </c>
      <c r="I78" s="102">
        <f t="shared" si="3"/>
        <v>205275</v>
      </c>
    </row>
    <row r="79" spans="2:9" ht="60" customHeight="1" thickBot="1">
      <c r="B79" s="233"/>
      <c r="C79" s="28" t="s">
        <v>197</v>
      </c>
      <c r="D79" s="3" t="s">
        <v>198</v>
      </c>
      <c r="E79" s="5" t="s">
        <v>91</v>
      </c>
      <c r="F79" s="90" t="s">
        <v>354</v>
      </c>
      <c r="G79" s="7">
        <v>85000</v>
      </c>
      <c r="H79" s="92">
        <f t="shared" si="2"/>
        <v>89250</v>
      </c>
      <c r="I79" s="102">
        <f t="shared" si="3"/>
        <v>75862.5</v>
      </c>
    </row>
    <row r="80" spans="2:9" ht="60" customHeight="1" thickBot="1">
      <c r="B80" s="233"/>
      <c r="C80" s="28" t="s">
        <v>199</v>
      </c>
      <c r="D80" s="3" t="s">
        <v>200</v>
      </c>
      <c r="E80" s="5" t="s">
        <v>91</v>
      </c>
      <c r="F80" s="90" t="s">
        <v>355</v>
      </c>
      <c r="G80" s="7">
        <v>226000</v>
      </c>
      <c r="H80" s="92">
        <f t="shared" si="2"/>
        <v>237300</v>
      </c>
      <c r="I80" s="102">
        <f t="shared" si="3"/>
        <v>201705</v>
      </c>
    </row>
    <row r="81" spans="2:9" ht="105" customHeight="1" thickBot="1">
      <c r="B81" s="233"/>
      <c r="C81" s="28" t="s">
        <v>201</v>
      </c>
      <c r="D81" s="3" t="s">
        <v>202</v>
      </c>
      <c r="E81" s="5" t="s">
        <v>163</v>
      </c>
      <c r="F81" s="90" t="s">
        <v>356</v>
      </c>
      <c r="G81" s="7">
        <v>360000</v>
      </c>
      <c r="H81" s="92">
        <f t="shared" si="2"/>
        <v>378000</v>
      </c>
      <c r="I81" s="102">
        <f t="shared" si="3"/>
        <v>321300</v>
      </c>
    </row>
    <row r="82" spans="2:9" ht="60" customHeight="1" thickBot="1">
      <c r="B82" s="233"/>
      <c r="C82" s="28" t="s">
        <v>203</v>
      </c>
      <c r="D82" s="3" t="s">
        <v>204</v>
      </c>
      <c r="E82" s="5" t="s">
        <v>91</v>
      </c>
      <c r="F82" s="90" t="s">
        <v>357</v>
      </c>
      <c r="G82" s="7">
        <v>178000</v>
      </c>
      <c r="H82" s="92">
        <f t="shared" si="2"/>
        <v>186900</v>
      </c>
      <c r="I82" s="102">
        <f t="shared" si="3"/>
        <v>158865</v>
      </c>
    </row>
    <row r="83" spans="2:9" ht="60" customHeight="1" thickBot="1">
      <c r="B83" s="233"/>
      <c r="C83" s="28" t="s">
        <v>205</v>
      </c>
      <c r="D83" s="3" t="s">
        <v>149</v>
      </c>
      <c r="E83" s="5" t="s">
        <v>91</v>
      </c>
      <c r="F83" s="90" t="s">
        <v>358</v>
      </c>
      <c r="G83" s="7">
        <v>135000</v>
      </c>
      <c r="H83" s="92">
        <f t="shared" si="2"/>
        <v>141750</v>
      </c>
      <c r="I83" s="102">
        <f t="shared" si="3"/>
        <v>120487.5</v>
      </c>
    </row>
    <row r="84" spans="2:9" ht="60" customHeight="1" thickBot="1">
      <c r="B84" s="233"/>
      <c r="C84" s="28" t="s">
        <v>206</v>
      </c>
      <c r="D84" s="3" t="s">
        <v>207</v>
      </c>
      <c r="E84" s="5" t="s">
        <v>91</v>
      </c>
      <c r="F84" s="90" t="s">
        <v>359</v>
      </c>
      <c r="G84" s="9">
        <v>95000</v>
      </c>
      <c r="H84" s="92">
        <f t="shared" si="2"/>
        <v>99750</v>
      </c>
      <c r="I84" s="102">
        <f t="shared" si="3"/>
        <v>84787.5</v>
      </c>
    </row>
    <row r="85" spans="2:9" ht="60" customHeight="1" thickBot="1">
      <c r="B85" s="233"/>
      <c r="C85" s="28" t="s">
        <v>208</v>
      </c>
      <c r="D85" s="3" t="s">
        <v>93</v>
      </c>
      <c r="E85" s="5" t="s">
        <v>91</v>
      </c>
      <c r="F85" s="90" t="s">
        <v>360</v>
      </c>
      <c r="G85" s="9">
        <v>380000</v>
      </c>
      <c r="H85" s="92">
        <f t="shared" si="2"/>
        <v>399000</v>
      </c>
      <c r="I85" s="102">
        <f t="shared" si="3"/>
        <v>339150</v>
      </c>
    </row>
    <row r="86" spans="2:9" ht="60" customHeight="1" thickBot="1">
      <c r="B86" s="233"/>
      <c r="C86" s="28" t="s">
        <v>209</v>
      </c>
      <c r="D86" s="3" t="s">
        <v>93</v>
      </c>
      <c r="E86" s="5" t="s">
        <v>91</v>
      </c>
      <c r="F86" s="90" t="s">
        <v>361</v>
      </c>
      <c r="G86" s="9">
        <v>445000</v>
      </c>
      <c r="H86" s="92">
        <f t="shared" si="2"/>
        <v>467250</v>
      </c>
      <c r="I86" s="102">
        <f t="shared" si="3"/>
        <v>397162.5</v>
      </c>
    </row>
    <row r="87" spans="2:9" ht="60" customHeight="1" thickBot="1">
      <c r="B87" s="233"/>
      <c r="C87" s="28" t="s">
        <v>210</v>
      </c>
      <c r="D87" s="3" t="s">
        <v>93</v>
      </c>
      <c r="E87" s="5" t="s">
        <v>91</v>
      </c>
      <c r="F87" s="90" t="s">
        <v>362</v>
      </c>
      <c r="G87" s="9">
        <v>350000</v>
      </c>
      <c r="H87" s="92">
        <f t="shared" si="2"/>
        <v>367500</v>
      </c>
      <c r="I87" s="102">
        <f t="shared" si="3"/>
        <v>312375</v>
      </c>
    </row>
    <row r="88" spans="2:9" ht="60" customHeight="1" thickBot="1">
      <c r="B88" s="233"/>
      <c r="C88" s="28" t="s">
        <v>211</v>
      </c>
      <c r="D88" s="3" t="s">
        <v>212</v>
      </c>
      <c r="E88" s="5" t="s">
        <v>91</v>
      </c>
      <c r="F88" s="90" t="s">
        <v>363</v>
      </c>
      <c r="G88" s="9">
        <v>120000</v>
      </c>
      <c r="H88" s="92">
        <f t="shared" si="2"/>
        <v>126000</v>
      </c>
      <c r="I88" s="102">
        <f t="shared" si="3"/>
        <v>107100</v>
      </c>
    </row>
    <row r="89" spans="2:9" ht="60" customHeight="1" thickBot="1">
      <c r="B89" s="233"/>
      <c r="C89" s="28" t="s">
        <v>213</v>
      </c>
      <c r="D89" s="3" t="s">
        <v>214</v>
      </c>
      <c r="E89" s="5" t="s">
        <v>91</v>
      </c>
      <c r="F89" s="90" t="s">
        <v>364</v>
      </c>
      <c r="G89" s="9">
        <v>185000</v>
      </c>
      <c r="H89" s="92">
        <f t="shared" si="2"/>
        <v>194250</v>
      </c>
      <c r="I89" s="102">
        <f t="shared" si="3"/>
        <v>165112.5</v>
      </c>
    </row>
    <row r="90" spans="2:9" ht="60" customHeight="1" thickBot="1">
      <c r="B90" s="233"/>
      <c r="C90" s="28" t="s">
        <v>215</v>
      </c>
      <c r="D90" s="3" t="s">
        <v>216</v>
      </c>
      <c r="E90" s="5" t="s">
        <v>91</v>
      </c>
      <c r="F90" s="90" t="s">
        <v>365</v>
      </c>
      <c r="G90" s="9">
        <v>190000</v>
      </c>
      <c r="H90" s="92">
        <f t="shared" si="2"/>
        <v>199500</v>
      </c>
      <c r="I90" s="102">
        <f t="shared" si="3"/>
        <v>169575</v>
      </c>
    </row>
    <row r="91" spans="2:9" ht="60" customHeight="1" thickBot="1">
      <c r="B91" s="233"/>
      <c r="C91" s="28" t="s">
        <v>217</v>
      </c>
      <c r="D91" s="2" t="s">
        <v>149</v>
      </c>
      <c r="E91" s="5" t="s">
        <v>91</v>
      </c>
      <c r="F91" s="90" t="s">
        <v>366</v>
      </c>
      <c r="G91" s="9">
        <v>110000</v>
      </c>
      <c r="H91" s="92">
        <f t="shared" ref="H91:H107" si="4">G91+(G91*0.05)</f>
        <v>115500</v>
      </c>
      <c r="I91" s="102">
        <f t="shared" si="3"/>
        <v>98175</v>
      </c>
    </row>
    <row r="92" spans="2:9" ht="60" customHeight="1" thickBot="1">
      <c r="B92" s="233"/>
      <c r="C92" s="28" t="s">
        <v>218</v>
      </c>
      <c r="D92" s="3" t="s">
        <v>219</v>
      </c>
      <c r="E92" s="5" t="s">
        <v>91</v>
      </c>
      <c r="F92" s="90" t="s">
        <v>367</v>
      </c>
      <c r="G92" s="9">
        <v>190000</v>
      </c>
      <c r="H92" s="92">
        <f t="shared" si="4"/>
        <v>199500</v>
      </c>
      <c r="I92" s="102">
        <f t="shared" si="3"/>
        <v>169575</v>
      </c>
    </row>
    <row r="93" spans="2:9" ht="60" customHeight="1" thickBot="1">
      <c r="B93" s="233"/>
      <c r="C93" s="28" t="s">
        <v>220</v>
      </c>
      <c r="D93" s="3" t="s">
        <v>221</v>
      </c>
      <c r="E93" s="5" t="s">
        <v>91</v>
      </c>
      <c r="F93" s="90" t="s">
        <v>368</v>
      </c>
      <c r="G93" s="9">
        <v>120000</v>
      </c>
      <c r="H93" s="92">
        <f t="shared" si="4"/>
        <v>126000</v>
      </c>
      <c r="I93" s="102">
        <f t="shared" si="3"/>
        <v>107100</v>
      </c>
    </row>
    <row r="94" spans="2:9" ht="60" customHeight="1" thickBot="1">
      <c r="B94" s="233"/>
      <c r="C94" s="28" t="s">
        <v>222</v>
      </c>
      <c r="D94" s="3" t="s">
        <v>223</v>
      </c>
      <c r="E94" s="5" t="s">
        <v>91</v>
      </c>
      <c r="F94" s="90" t="s">
        <v>369</v>
      </c>
      <c r="G94" s="7">
        <v>85000</v>
      </c>
      <c r="H94" s="92">
        <f t="shared" si="4"/>
        <v>89250</v>
      </c>
      <c r="I94" s="102">
        <f t="shared" si="3"/>
        <v>75862.5</v>
      </c>
    </row>
    <row r="95" spans="2:9" ht="60" customHeight="1" thickBot="1">
      <c r="B95" s="233"/>
      <c r="C95" s="28" t="s">
        <v>224</v>
      </c>
      <c r="D95" s="2" t="s">
        <v>225</v>
      </c>
      <c r="E95" s="5" t="s">
        <v>91</v>
      </c>
      <c r="F95" s="90" t="s">
        <v>370</v>
      </c>
      <c r="G95" s="7">
        <v>190000</v>
      </c>
      <c r="H95" s="92">
        <f t="shared" si="4"/>
        <v>199500</v>
      </c>
      <c r="I95" s="102">
        <f t="shared" si="3"/>
        <v>169575</v>
      </c>
    </row>
    <row r="96" spans="2:9" ht="60" customHeight="1" thickBot="1">
      <c r="B96" s="233"/>
      <c r="C96" s="28" t="s">
        <v>226</v>
      </c>
      <c r="D96" s="3" t="s">
        <v>227</v>
      </c>
      <c r="E96" s="5" t="s">
        <v>91</v>
      </c>
      <c r="F96" s="90" t="s">
        <v>371</v>
      </c>
      <c r="G96" s="7">
        <v>205000</v>
      </c>
      <c r="H96" s="92">
        <f t="shared" si="4"/>
        <v>215250</v>
      </c>
      <c r="I96" s="102">
        <f t="shared" si="3"/>
        <v>182962.5</v>
      </c>
    </row>
    <row r="97" spans="2:9" ht="60" customHeight="1" thickBot="1">
      <c r="B97" s="233"/>
      <c r="C97" s="28" t="s">
        <v>228</v>
      </c>
      <c r="D97" s="3" t="s">
        <v>100</v>
      </c>
      <c r="E97" s="5" t="s">
        <v>91</v>
      </c>
      <c r="F97" s="90" t="s">
        <v>372</v>
      </c>
      <c r="G97" s="7">
        <v>105000</v>
      </c>
      <c r="H97" s="92">
        <f t="shared" si="4"/>
        <v>110250</v>
      </c>
      <c r="I97" s="102">
        <f t="shared" si="3"/>
        <v>93712.5</v>
      </c>
    </row>
    <row r="98" spans="2:9" ht="60" customHeight="1" thickBot="1">
      <c r="B98" s="233"/>
      <c r="C98" s="28" t="s">
        <v>229</v>
      </c>
      <c r="D98" s="3" t="s">
        <v>230</v>
      </c>
      <c r="E98" s="5" t="s">
        <v>163</v>
      </c>
      <c r="F98" s="90" t="s">
        <v>373</v>
      </c>
      <c r="G98" s="7">
        <v>390000</v>
      </c>
      <c r="H98" s="92">
        <f t="shared" si="4"/>
        <v>409500</v>
      </c>
      <c r="I98" s="102">
        <f t="shared" si="3"/>
        <v>348075</v>
      </c>
    </row>
    <row r="99" spans="2:9" ht="39.950000000000003" customHeight="1" thickBot="1">
      <c r="B99" s="233"/>
      <c r="C99" s="28" t="s">
        <v>231</v>
      </c>
      <c r="D99" s="3" t="s">
        <v>149</v>
      </c>
      <c r="E99" s="5" t="s">
        <v>91</v>
      </c>
      <c r="F99" s="90" t="s">
        <v>374</v>
      </c>
      <c r="G99" s="7">
        <v>150000</v>
      </c>
      <c r="H99" s="92">
        <f t="shared" si="4"/>
        <v>157500</v>
      </c>
      <c r="I99" s="102">
        <f t="shared" si="3"/>
        <v>133875</v>
      </c>
    </row>
    <row r="100" spans="2:9" ht="80.25" customHeight="1" thickBot="1">
      <c r="B100" s="233"/>
      <c r="C100" s="28" t="s">
        <v>232</v>
      </c>
      <c r="D100" s="3" t="s">
        <v>106</v>
      </c>
      <c r="E100" s="5" t="s">
        <v>91</v>
      </c>
      <c r="F100" s="90" t="s">
        <v>375</v>
      </c>
      <c r="G100" s="7">
        <v>95000</v>
      </c>
      <c r="H100" s="92">
        <f t="shared" si="4"/>
        <v>99750</v>
      </c>
      <c r="I100" s="102">
        <f t="shared" si="3"/>
        <v>84787.5</v>
      </c>
    </row>
    <row r="101" spans="2:9" ht="35.25" customHeight="1" thickBot="1">
      <c r="B101" s="233"/>
      <c r="C101" s="28" t="s">
        <v>233</v>
      </c>
      <c r="D101" s="3" t="s">
        <v>85</v>
      </c>
      <c r="E101" s="5" t="s">
        <v>91</v>
      </c>
      <c r="F101" s="90" t="s">
        <v>376</v>
      </c>
      <c r="G101" s="7">
        <v>98000</v>
      </c>
      <c r="H101" s="92">
        <f t="shared" si="4"/>
        <v>102900</v>
      </c>
      <c r="I101" s="102">
        <f t="shared" si="3"/>
        <v>87465</v>
      </c>
    </row>
    <row r="102" spans="2:9" ht="28.5" customHeight="1" thickBot="1">
      <c r="B102" s="233"/>
      <c r="C102" s="28" t="s">
        <v>234</v>
      </c>
      <c r="D102" s="3" t="s">
        <v>235</v>
      </c>
      <c r="E102" s="5" t="s">
        <v>91</v>
      </c>
      <c r="F102" s="90" t="s">
        <v>377</v>
      </c>
      <c r="G102" s="7">
        <v>450000</v>
      </c>
      <c r="H102" s="92">
        <f t="shared" si="4"/>
        <v>472500</v>
      </c>
      <c r="I102" s="102">
        <f t="shared" si="3"/>
        <v>401625</v>
      </c>
    </row>
    <row r="103" spans="2:9" ht="28.5" customHeight="1" thickBot="1">
      <c r="B103" s="233"/>
      <c r="C103" s="28" t="s">
        <v>236</v>
      </c>
      <c r="D103" s="3" t="s">
        <v>116</v>
      </c>
      <c r="E103" s="5" t="s">
        <v>91</v>
      </c>
      <c r="F103" s="90" t="s">
        <v>378</v>
      </c>
      <c r="G103" s="9">
        <v>130000</v>
      </c>
      <c r="H103" s="92">
        <f t="shared" si="4"/>
        <v>136500</v>
      </c>
      <c r="I103" s="102">
        <f t="shared" si="3"/>
        <v>116025</v>
      </c>
    </row>
    <row r="104" spans="2:9" ht="25.5" customHeight="1" thickBot="1">
      <c r="B104" s="233"/>
      <c r="C104" s="28" t="s">
        <v>237</v>
      </c>
      <c r="D104" s="3" t="s">
        <v>238</v>
      </c>
      <c r="E104" s="5" t="s">
        <v>91</v>
      </c>
      <c r="F104" s="90" t="s">
        <v>382</v>
      </c>
      <c r="G104" s="9">
        <v>85000</v>
      </c>
      <c r="H104" s="92">
        <f t="shared" si="4"/>
        <v>89250</v>
      </c>
      <c r="I104" s="102">
        <f t="shared" si="3"/>
        <v>75862.5</v>
      </c>
    </row>
    <row r="105" spans="2:9" ht="36.75" customHeight="1" thickBot="1">
      <c r="B105" s="233"/>
      <c r="C105" s="28" t="s">
        <v>239</v>
      </c>
      <c r="D105" s="3" t="s">
        <v>238</v>
      </c>
      <c r="E105" s="5" t="s">
        <v>91</v>
      </c>
      <c r="F105" s="90" t="s">
        <v>383</v>
      </c>
      <c r="G105" s="9">
        <v>85000</v>
      </c>
      <c r="H105" s="92">
        <f t="shared" si="4"/>
        <v>89250</v>
      </c>
      <c r="I105" s="102">
        <f t="shared" si="3"/>
        <v>75862.5</v>
      </c>
    </row>
    <row r="106" spans="2:9" ht="35.25" customHeight="1" thickBot="1">
      <c r="B106" s="233"/>
      <c r="C106" s="28" t="s">
        <v>240</v>
      </c>
      <c r="D106" s="3" t="s">
        <v>241</v>
      </c>
      <c r="E106" s="5" t="s">
        <v>91</v>
      </c>
      <c r="F106" s="90" t="s">
        <v>386</v>
      </c>
      <c r="G106" s="9">
        <v>120000</v>
      </c>
      <c r="H106" s="92">
        <f t="shared" si="4"/>
        <v>126000</v>
      </c>
      <c r="I106" s="102">
        <f t="shared" si="3"/>
        <v>107100</v>
      </c>
    </row>
    <row r="107" spans="2:9" ht="31.5" customHeight="1">
      <c r="B107" s="234"/>
      <c r="C107" s="28" t="s">
        <v>242</v>
      </c>
      <c r="D107" s="3" t="s">
        <v>243</v>
      </c>
      <c r="E107" s="5" t="s">
        <v>91</v>
      </c>
      <c r="F107" s="90" t="s">
        <v>387</v>
      </c>
      <c r="G107" s="9">
        <v>240000</v>
      </c>
      <c r="H107" s="92">
        <f t="shared" si="4"/>
        <v>252000</v>
      </c>
      <c r="I107" s="102">
        <f t="shared" si="3"/>
        <v>214200</v>
      </c>
    </row>
    <row r="108" spans="2:9" ht="37.5" customHeight="1" thickBot="1">
      <c r="B108" s="235"/>
      <c r="C108" s="38"/>
      <c r="D108" s="38"/>
      <c r="E108" s="38"/>
      <c r="F108" s="38"/>
      <c r="G108" s="38"/>
      <c r="H108" s="38"/>
      <c r="I108" s="39"/>
    </row>
    <row r="109" spans="2:9" customFormat="1" ht="36" customHeight="1"/>
    <row r="110" spans="2:9" customFormat="1" ht="15.75" customHeight="1"/>
    <row r="111" spans="2:9" customFormat="1" ht="15.75" customHeight="1"/>
    <row r="112" spans="2:9"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spans="5:5" customFormat="1" ht="15.75" customHeight="1"/>
    <row r="178" spans="5:5" customFormat="1" ht="15.75" customHeight="1"/>
    <row r="179" spans="5:5" customFormat="1" ht="15.75" customHeight="1"/>
    <row r="180" spans="5:5" customFormat="1" ht="15.75" customHeight="1"/>
    <row r="181" spans="5:5" customFormat="1" ht="15.75" customHeight="1"/>
    <row r="182" spans="5:5" customFormat="1" ht="15.75" customHeight="1"/>
    <row r="183" spans="5:5" customFormat="1" ht="15.75" customHeight="1"/>
    <row r="184" spans="5:5" customFormat="1" ht="15.75" customHeight="1"/>
    <row r="185" spans="5:5" customFormat="1" ht="15.75" customHeight="1"/>
    <row r="186" spans="5:5" customFormat="1" ht="15.75" customHeight="1"/>
    <row r="187" spans="5:5" customFormat="1" ht="15.75" customHeight="1"/>
    <row r="188" spans="5:5" customFormat="1" ht="15.75" customHeight="1"/>
    <row r="189" spans="5:5" customFormat="1" ht="15.75" customHeight="1"/>
    <row r="190" spans="5:5" customFormat="1" ht="15.75" customHeight="1"/>
    <row r="191" spans="5:5" ht="15.75" customHeight="1">
      <c r="E191" s="4"/>
    </row>
    <row r="192" spans="5:5" ht="15.75" customHeight="1">
      <c r="E192" s="4"/>
    </row>
    <row r="193" spans="5:5" ht="15.75" customHeight="1">
      <c r="E193" s="4"/>
    </row>
    <row r="194" spans="5:5" ht="15.75" customHeight="1">
      <c r="E194" s="4"/>
    </row>
    <row r="195" spans="5:5" ht="15.75" customHeight="1">
      <c r="E195" s="4"/>
    </row>
    <row r="196" spans="5:5" ht="15.75" customHeight="1">
      <c r="E196" s="4"/>
    </row>
    <row r="197" spans="5:5" ht="15.75" customHeight="1">
      <c r="E197" s="4"/>
    </row>
    <row r="198" spans="5:5" ht="15.75" customHeight="1">
      <c r="E198" s="4"/>
    </row>
    <row r="199" spans="5:5" ht="15.75" customHeight="1">
      <c r="E199" s="4"/>
    </row>
    <row r="200" spans="5:5" ht="15.75" customHeight="1">
      <c r="E200" s="4"/>
    </row>
    <row r="201" spans="5:5" ht="15.75" customHeight="1">
      <c r="E201" s="4"/>
    </row>
    <row r="202" spans="5:5" ht="15.75" customHeight="1">
      <c r="E202" s="4"/>
    </row>
    <row r="203" spans="5:5" ht="15.75" customHeight="1">
      <c r="E203" s="4"/>
    </row>
    <row r="204" spans="5:5" ht="15.75" customHeight="1">
      <c r="E204" s="4"/>
    </row>
    <row r="205" spans="5:5" ht="15.75" customHeight="1">
      <c r="E205" s="4"/>
    </row>
    <row r="206" spans="5:5" ht="15.75" customHeight="1">
      <c r="E206" s="4"/>
    </row>
    <row r="207" spans="5:5" ht="15.75" customHeight="1">
      <c r="E207" s="4"/>
    </row>
    <row r="208" spans="5:5" ht="15.75" customHeight="1">
      <c r="E208" s="4"/>
    </row>
    <row r="209" spans="5:5" ht="15.75" customHeight="1">
      <c r="E209" s="4"/>
    </row>
    <row r="210" spans="5:5" ht="15.75" customHeight="1">
      <c r="E210" s="4"/>
    </row>
    <row r="211" spans="5:5" ht="15.75" customHeight="1">
      <c r="E211" s="4"/>
    </row>
    <row r="212" spans="5:5" ht="15.75" customHeight="1">
      <c r="E212" s="4"/>
    </row>
    <row r="213" spans="5:5" ht="15.75" customHeight="1">
      <c r="E213" s="4"/>
    </row>
    <row r="214" spans="5:5" ht="15.75" customHeight="1">
      <c r="E214" s="4"/>
    </row>
    <row r="215" spans="5:5" ht="15.75" customHeight="1">
      <c r="E215" s="4"/>
    </row>
    <row r="216" spans="5:5" ht="15.75" customHeight="1">
      <c r="E216" s="4"/>
    </row>
    <row r="217" spans="5:5" ht="15.75" customHeight="1">
      <c r="E217" s="4"/>
    </row>
    <row r="218" spans="5:5" ht="15.75" customHeight="1">
      <c r="E218" s="4"/>
    </row>
    <row r="219" spans="5:5" ht="15.75" customHeight="1">
      <c r="E219" s="4"/>
    </row>
    <row r="220" spans="5:5" ht="15.75" customHeight="1">
      <c r="E220" s="4"/>
    </row>
    <row r="221" spans="5:5" ht="15.75" customHeight="1">
      <c r="E221" s="4"/>
    </row>
    <row r="222" spans="5:5" ht="15.75" customHeight="1">
      <c r="E222" s="4"/>
    </row>
    <row r="223" spans="5:5" ht="15.75" customHeight="1">
      <c r="E223" s="4"/>
    </row>
    <row r="224" spans="5:5" ht="15.75" customHeight="1">
      <c r="E224" s="4"/>
    </row>
    <row r="225" spans="5:5" ht="15.75" customHeight="1">
      <c r="E225" s="4"/>
    </row>
    <row r="226" spans="5:5" ht="15.75" customHeight="1">
      <c r="E226" s="4"/>
    </row>
    <row r="227" spans="5:5" ht="15.75" customHeight="1">
      <c r="E227" s="4"/>
    </row>
    <row r="228" spans="5:5" ht="15.75" customHeight="1">
      <c r="E228" s="4"/>
    </row>
    <row r="229" spans="5:5" ht="15.75" customHeight="1">
      <c r="E229" s="4"/>
    </row>
    <row r="230" spans="5:5" ht="15.75" customHeight="1">
      <c r="E230" s="4"/>
    </row>
    <row r="231" spans="5:5" ht="15.75" customHeight="1">
      <c r="E231" s="4"/>
    </row>
    <row r="232" spans="5:5" ht="15.75" customHeight="1">
      <c r="E232" s="4"/>
    </row>
    <row r="233" spans="5:5" ht="15.75" customHeight="1">
      <c r="E233" s="4"/>
    </row>
    <row r="234" spans="5:5" ht="15.75" customHeight="1">
      <c r="E234" s="4"/>
    </row>
    <row r="235" spans="5:5" ht="15.75" customHeight="1">
      <c r="E235" s="4"/>
    </row>
    <row r="236" spans="5:5" ht="15.75" customHeight="1">
      <c r="E236" s="4"/>
    </row>
    <row r="237" spans="5:5" ht="15.75" customHeight="1">
      <c r="E237" s="4"/>
    </row>
    <row r="238" spans="5:5" ht="15.75" customHeight="1">
      <c r="E238" s="4"/>
    </row>
    <row r="239" spans="5:5" ht="15.75" customHeight="1">
      <c r="E239" s="4"/>
    </row>
    <row r="240" spans="5:5" ht="15.75" customHeight="1">
      <c r="E240" s="4"/>
    </row>
    <row r="241" spans="5:5" ht="15.75" customHeight="1">
      <c r="E241" s="4"/>
    </row>
    <row r="242" spans="5:5" ht="15.75" customHeight="1">
      <c r="E242" s="4"/>
    </row>
    <row r="243" spans="5:5" ht="15.75" customHeight="1">
      <c r="E243" s="4"/>
    </row>
    <row r="244" spans="5:5" ht="15.75" customHeight="1">
      <c r="E244" s="4"/>
    </row>
    <row r="245" spans="5:5" ht="15.75" customHeight="1">
      <c r="E245" s="4"/>
    </row>
    <row r="246" spans="5:5" ht="15.75" customHeight="1">
      <c r="E246" s="4"/>
    </row>
    <row r="247" spans="5:5" ht="15.75" customHeight="1">
      <c r="E247" s="4"/>
    </row>
    <row r="248" spans="5:5" ht="15.75" customHeight="1">
      <c r="E248" s="4"/>
    </row>
    <row r="249" spans="5:5" ht="15.75" customHeight="1">
      <c r="E249" s="4"/>
    </row>
    <row r="250" spans="5:5" ht="15.75" customHeight="1">
      <c r="E250" s="4"/>
    </row>
    <row r="251" spans="5:5" ht="15.75" customHeight="1">
      <c r="E251" s="4"/>
    </row>
    <row r="252" spans="5:5" ht="15.75" customHeight="1">
      <c r="E252" s="4"/>
    </row>
    <row r="253" spans="5:5" ht="15.75" customHeight="1">
      <c r="E253" s="4"/>
    </row>
    <row r="254" spans="5:5" ht="15.75" customHeight="1">
      <c r="E254" s="4"/>
    </row>
    <row r="255" spans="5:5" ht="15.75" customHeight="1">
      <c r="E255" s="4"/>
    </row>
    <row r="256" spans="5:5" ht="15.75" customHeight="1">
      <c r="E256" s="4"/>
    </row>
    <row r="257" spans="5:5" ht="15.75" customHeight="1">
      <c r="E257" s="4"/>
    </row>
    <row r="258" spans="5:5" ht="15.75" customHeight="1">
      <c r="E258" s="4"/>
    </row>
    <row r="259" spans="5:5" ht="15.75" customHeight="1">
      <c r="E259" s="4"/>
    </row>
    <row r="260" spans="5:5" ht="15.75" customHeight="1">
      <c r="E260" s="4"/>
    </row>
    <row r="261" spans="5:5" ht="15.75" customHeight="1">
      <c r="E261" s="4"/>
    </row>
    <row r="262" spans="5:5" ht="15.75" customHeight="1">
      <c r="E262" s="4"/>
    </row>
    <row r="263" spans="5:5" ht="15.75" customHeight="1">
      <c r="E263" s="4"/>
    </row>
    <row r="264" spans="5:5" ht="15.75" customHeight="1">
      <c r="E264" s="4"/>
    </row>
    <row r="265" spans="5:5" ht="15.75" customHeight="1">
      <c r="E265" s="4"/>
    </row>
    <row r="266" spans="5:5" ht="15.75" customHeight="1">
      <c r="E266" s="4"/>
    </row>
    <row r="267" spans="5:5" ht="15.75" customHeight="1">
      <c r="E267" s="4"/>
    </row>
    <row r="268" spans="5:5" ht="15.75" customHeight="1">
      <c r="E268" s="4"/>
    </row>
    <row r="269" spans="5:5" ht="15.75" customHeight="1">
      <c r="E269" s="4"/>
    </row>
    <row r="270" spans="5:5" ht="15.75" customHeight="1">
      <c r="E270" s="4"/>
    </row>
    <row r="271" spans="5:5" ht="15.75" customHeight="1">
      <c r="E271" s="4"/>
    </row>
    <row r="272" spans="5:5" ht="15.75" customHeight="1">
      <c r="E272" s="4"/>
    </row>
    <row r="273" spans="5:5" ht="15.75" customHeight="1">
      <c r="E273" s="4"/>
    </row>
    <row r="274" spans="5:5" ht="15.75" customHeight="1">
      <c r="E274" s="4"/>
    </row>
    <row r="275" spans="5:5" ht="15.75" customHeight="1">
      <c r="E275" s="4"/>
    </row>
    <row r="276" spans="5:5" ht="15.75" customHeight="1">
      <c r="E276" s="4"/>
    </row>
    <row r="277" spans="5:5" ht="15.75" customHeight="1">
      <c r="E277" s="4"/>
    </row>
    <row r="278" spans="5:5" ht="15.75" customHeight="1">
      <c r="E278" s="4"/>
    </row>
    <row r="279" spans="5:5" ht="15.75" customHeight="1">
      <c r="E279" s="4"/>
    </row>
    <row r="280" spans="5:5" ht="15.75" customHeight="1">
      <c r="E280" s="4"/>
    </row>
    <row r="281" spans="5:5" ht="15.75" customHeight="1">
      <c r="E281" s="4"/>
    </row>
    <row r="282" spans="5:5" ht="15.75" customHeight="1">
      <c r="E282" s="4"/>
    </row>
    <row r="283" spans="5:5" ht="15.75" customHeight="1">
      <c r="E283" s="4"/>
    </row>
    <row r="284" spans="5:5" ht="15.75" customHeight="1">
      <c r="E284" s="4"/>
    </row>
    <row r="285" spans="5:5" ht="15.75" customHeight="1">
      <c r="E285" s="4"/>
    </row>
    <row r="286" spans="5:5" ht="15.75" customHeight="1">
      <c r="E286" s="4"/>
    </row>
    <row r="287" spans="5:5" ht="15.75" customHeight="1">
      <c r="E287" s="4"/>
    </row>
    <row r="288" spans="5:5" ht="15.75" customHeight="1">
      <c r="E288" s="4"/>
    </row>
    <row r="289" spans="5:5" ht="15.75" customHeight="1">
      <c r="E289" s="4"/>
    </row>
    <row r="290" spans="5:5" ht="15.75" customHeight="1">
      <c r="E290" s="4"/>
    </row>
    <row r="291" spans="5:5" ht="15.75" customHeight="1">
      <c r="E291" s="4"/>
    </row>
    <row r="292" spans="5:5" ht="15.75" customHeight="1">
      <c r="E292" s="4"/>
    </row>
    <row r="293" spans="5:5" ht="15.75" customHeight="1">
      <c r="E293" s="4"/>
    </row>
    <row r="294" spans="5:5" ht="15.75" customHeight="1">
      <c r="E294" s="4"/>
    </row>
    <row r="295" spans="5:5" ht="15.75" customHeight="1">
      <c r="E295" s="4"/>
    </row>
    <row r="296" spans="5:5" ht="15.75" customHeight="1">
      <c r="E296" s="4"/>
    </row>
    <row r="297" spans="5:5" ht="15.75" customHeight="1">
      <c r="E297" s="4"/>
    </row>
    <row r="298" spans="5:5" ht="15.75" customHeight="1">
      <c r="E298" s="4"/>
    </row>
    <row r="299" spans="5:5" ht="15.75" customHeight="1">
      <c r="E299" s="4"/>
    </row>
    <row r="300" spans="5:5" ht="15.75" customHeight="1">
      <c r="E300" s="4"/>
    </row>
    <row r="301" spans="5:5" ht="15.75" customHeight="1">
      <c r="E301" s="4"/>
    </row>
    <row r="302" spans="5:5" ht="15.75" customHeight="1">
      <c r="E302" s="4"/>
    </row>
    <row r="303" spans="5:5" ht="15.75" customHeight="1">
      <c r="E303" s="4"/>
    </row>
    <row r="304" spans="5:5" ht="15.75" customHeight="1">
      <c r="E304" s="4"/>
    </row>
    <row r="305" spans="5:5" ht="15.75" customHeight="1">
      <c r="E305" s="4"/>
    </row>
    <row r="306" spans="5:5" ht="15.75" customHeight="1">
      <c r="E306" s="4"/>
    </row>
    <row r="307" spans="5:5" ht="15.75" customHeight="1">
      <c r="E307" s="4"/>
    </row>
    <row r="308" spans="5:5" ht="15.75" customHeight="1">
      <c r="E308" s="4"/>
    </row>
    <row r="309" spans="5:5" ht="15.75" customHeight="1">
      <c r="E309" s="4"/>
    </row>
    <row r="310" spans="5:5" ht="15.75" customHeight="1">
      <c r="E310" s="4"/>
    </row>
    <row r="311" spans="5:5" ht="15.75" customHeight="1">
      <c r="E311" s="4"/>
    </row>
    <row r="312" spans="5:5" ht="15.75" customHeight="1">
      <c r="E312" s="4"/>
    </row>
    <row r="313" spans="5:5" ht="15.75" customHeight="1">
      <c r="E313" s="4"/>
    </row>
    <row r="314" spans="5:5" ht="15.75" customHeight="1">
      <c r="E314" s="4"/>
    </row>
    <row r="315" spans="5:5" ht="15.75" customHeight="1">
      <c r="E315" s="4"/>
    </row>
    <row r="316" spans="5:5" ht="15.75" customHeight="1">
      <c r="E316" s="4"/>
    </row>
    <row r="317" spans="5:5" ht="15.75" customHeight="1">
      <c r="E317" s="4"/>
    </row>
    <row r="318" spans="5:5" ht="15.75" customHeight="1">
      <c r="E318" s="4"/>
    </row>
    <row r="319" spans="5:5" ht="15.75" customHeight="1">
      <c r="E319" s="4"/>
    </row>
    <row r="320" spans="5:5" ht="15.75" customHeight="1">
      <c r="E320" s="4"/>
    </row>
    <row r="321" spans="5:5" ht="15.75" customHeight="1">
      <c r="E321" s="4"/>
    </row>
    <row r="322" spans="5:5" ht="15.75" customHeight="1">
      <c r="E322" s="4"/>
    </row>
    <row r="323" spans="5:5" ht="15.75" customHeight="1">
      <c r="E323" s="4"/>
    </row>
    <row r="324" spans="5:5" ht="15.75" customHeight="1">
      <c r="E324" s="4"/>
    </row>
    <row r="325" spans="5:5" ht="15.75" customHeight="1">
      <c r="E325" s="4"/>
    </row>
    <row r="326" spans="5:5" ht="15.75" customHeight="1">
      <c r="E326" s="4"/>
    </row>
    <row r="327" spans="5:5" ht="15.75" customHeight="1">
      <c r="E327" s="4"/>
    </row>
    <row r="328" spans="5:5" ht="15.75" customHeight="1">
      <c r="E328" s="4"/>
    </row>
    <row r="329" spans="5:5" ht="15.75" customHeight="1">
      <c r="E329" s="4"/>
    </row>
    <row r="330" spans="5:5" ht="15.75" customHeight="1">
      <c r="E330" s="4"/>
    </row>
    <row r="331" spans="5:5" ht="15.75" customHeight="1">
      <c r="E331" s="4"/>
    </row>
    <row r="332" spans="5:5" ht="15.75" customHeight="1">
      <c r="E332" s="4"/>
    </row>
    <row r="333" spans="5:5" ht="15.75" customHeight="1">
      <c r="E333" s="4"/>
    </row>
    <row r="334" spans="5:5" ht="15.75" customHeight="1">
      <c r="E334" s="4"/>
    </row>
    <row r="335" spans="5:5" ht="15.75" customHeight="1">
      <c r="E335" s="4"/>
    </row>
    <row r="336" spans="5:5" ht="15.75" customHeight="1">
      <c r="E336" s="4"/>
    </row>
    <row r="337" spans="5:5" ht="15.75" customHeight="1">
      <c r="E337" s="4"/>
    </row>
    <row r="338" spans="5:5" ht="15.75" customHeight="1">
      <c r="E338" s="4"/>
    </row>
    <row r="339" spans="5:5" ht="15.75" customHeight="1">
      <c r="E339" s="4"/>
    </row>
    <row r="340" spans="5:5" ht="15.75" customHeight="1">
      <c r="E340" s="4"/>
    </row>
    <row r="341" spans="5:5" ht="15.75" customHeight="1">
      <c r="E341" s="4"/>
    </row>
    <row r="342" spans="5:5" ht="15.75" customHeight="1">
      <c r="E342" s="4"/>
    </row>
    <row r="343" spans="5:5" ht="15.75" customHeight="1">
      <c r="E343" s="4"/>
    </row>
    <row r="344" spans="5:5" ht="15.75" customHeight="1">
      <c r="E344" s="4"/>
    </row>
    <row r="345" spans="5:5" ht="15.75" customHeight="1">
      <c r="E345" s="4"/>
    </row>
    <row r="346" spans="5:5" ht="15.75" customHeight="1">
      <c r="E346" s="4"/>
    </row>
    <row r="347" spans="5:5" ht="15.75" customHeight="1">
      <c r="E347" s="4"/>
    </row>
    <row r="348" spans="5:5" ht="15.75" customHeight="1">
      <c r="E348" s="4"/>
    </row>
    <row r="349" spans="5:5" ht="15.75" customHeight="1">
      <c r="E349" s="4"/>
    </row>
    <row r="350" spans="5:5" ht="15.75" customHeight="1">
      <c r="E350" s="4"/>
    </row>
    <row r="351" spans="5:5" ht="15.75" customHeight="1">
      <c r="E351" s="4"/>
    </row>
    <row r="352" spans="5:5" ht="15.75" customHeight="1">
      <c r="E352" s="4"/>
    </row>
    <row r="353" spans="5:5" ht="15.75" customHeight="1">
      <c r="E353" s="4"/>
    </row>
    <row r="354" spans="5:5" ht="15.75" customHeight="1">
      <c r="E354" s="4"/>
    </row>
    <row r="355" spans="5:5" ht="15.75" customHeight="1">
      <c r="E355" s="4"/>
    </row>
    <row r="356" spans="5:5" ht="15.75" customHeight="1">
      <c r="E356" s="4"/>
    </row>
    <row r="357" spans="5:5" ht="15.75" customHeight="1">
      <c r="E357" s="4"/>
    </row>
    <row r="358" spans="5:5" ht="15.75" customHeight="1">
      <c r="E358" s="4"/>
    </row>
    <row r="359" spans="5:5" ht="15.75" customHeight="1">
      <c r="E359" s="4"/>
    </row>
    <row r="360" spans="5:5" ht="15.75" customHeight="1">
      <c r="E360" s="4"/>
    </row>
    <row r="361" spans="5:5" ht="15.75" customHeight="1">
      <c r="E361" s="4"/>
    </row>
    <row r="362" spans="5:5" ht="15.75" customHeight="1">
      <c r="E362" s="4"/>
    </row>
    <row r="363" spans="5:5" ht="15.75" customHeight="1">
      <c r="E363" s="4"/>
    </row>
    <row r="364" spans="5:5" ht="15.75" customHeight="1">
      <c r="E364" s="4"/>
    </row>
    <row r="365" spans="5:5" ht="15.75" customHeight="1">
      <c r="E365" s="4"/>
    </row>
    <row r="366" spans="5:5" ht="15.75" customHeight="1">
      <c r="E366" s="4"/>
    </row>
    <row r="367" spans="5:5" ht="15.75" customHeight="1">
      <c r="E367" s="4"/>
    </row>
    <row r="368" spans="5:5" ht="15.75" customHeight="1">
      <c r="E368" s="4"/>
    </row>
    <row r="369" spans="5:5" ht="15.75" customHeight="1">
      <c r="E369" s="4"/>
    </row>
    <row r="370" spans="5:5" ht="15.75" customHeight="1">
      <c r="E370" s="4"/>
    </row>
    <row r="371" spans="5:5" ht="15.75" customHeight="1">
      <c r="E371" s="4"/>
    </row>
    <row r="372" spans="5:5" ht="15.75" customHeight="1">
      <c r="E372" s="4"/>
    </row>
    <row r="373" spans="5:5" ht="15.75" customHeight="1">
      <c r="E373" s="4"/>
    </row>
    <row r="374" spans="5:5" ht="15.75" customHeight="1">
      <c r="E374" s="4"/>
    </row>
    <row r="375" spans="5:5" ht="15.75" customHeight="1">
      <c r="E375" s="4"/>
    </row>
    <row r="376" spans="5:5" ht="15.75" customHeight="1">
      <c r="E376" s="4"/>
    </row>
    <row r="377" spans="5:5" ht="15.75" customHeight="1">
      <c r="E377" s="4"/>
    </row>
    <row r="378" spans="5:5" ht="15.75" customHeight="1">
      <c r="E378" s="4"/>
    </row>
    <row r="379" spans="5:5" ht="15.75" customHeight="1">
      <c r="E379" s="4"/>
    </row>
    <row r="380" spans="5:5" ht="15.75" customHeight="1">
      <c r="E380" s="4"/>
    </row>
    <row r="381" spans="5:5" ht="15.75" customHeight="1">
      <c r="E381" s="4"/>
    </row>
    <row r="382" spans="5:5" ht="15.75" customHeight="1">
      <c r="E382" s="4"/>
    </row>
    <row r="383" spans="5:5" ht="15.75" customHeight="1">
      <c r="E383" s="4"/>
    </row>
    <row r="384" spans="5:5" ht="15.75" customHeight="1">
      <c r="E384" s="4"/>
    </row>
    <row r="385" spans="5:5" ht="15.75" customHeight="1">
      <c r="E385" s="4"/>
    </row>
    <row r="386" spans="5:5" ht="15.75" customHeight="1">
      <c r="E386" s="4"/>
    </row>
    <row r="387" spans="5:5" ht="15.75" customHeight="1">
      <c r="E387" s="4"/>
    </row>
    <row r="388" spans="5:5" ht="15.75" customHeight="1">
      <c r="E388" s="4"/>
    </row>
    <row r="389" spans="5:5" ht="15.75" customHeight="1">
      <c r="E389" s="4"/>
    </row>
    <row r="390" spans="5:5" ht="15.75" customHeight="1">
      <c r="E390" s="4"/>
    </row>
    <row r="391" spans="5:5" ht="15.75" customHeight="1">
      <c r="E391" s="4"/>
    </row>
    <row r="392" spans="5:5" ht="15.75" customHeight="1">
      <c r="E392" s="4"/>
    </row>
    <row r="393" spans="5:5" ht="15.75" customHeight="1">
      <c r="E393" s="4"/>
    </row>
    <row r="394" spans="5:5" ht="15.75" customHeight="1">
      <c r="E394" s="4"/>
    </row>
    <row r="395" spans="5:5" ht="15.75" customHeight="1">
      <c r="E395" s="4"/>
    </row>
    <row r="396" spans="5:5" ht="15.75" customHeight="1">
      <c r="E396" s="4"/>
    </row>
    <row r="397" spans="5:5" ht="15.75" customHeight="1">
      <c r="E397" s="4"/>
    </row>
    <row r="398" spans="5:5" ht="15.75" customHeight="1">
      <c r="E398" s="4"/>
    </row>
    <row r="399" spans="5:5" ht="15.75" customHeight="1">
      <c r="E399" s="4"/>
    </row>
    <row r="400" spans="5:5" ht="15.75" customHeight="1">
      <c r="E400" s="4"/>
    </row>
    <row r="401" spans="5:5" ht="15.75" customHeight="1">
      <c r="E401" s="4"/>
    </row>
    <row r="402" spans="5:5" ht="15.75" customHeight="1">
      <c r="E402" s="4"/>
    </row>
    <row r="403" spans="5:5" ht="15.75" customHeight="1">
      <c r="E403" s="4"/>
    </row>
    <row r="404" spans="5:5" ht="15.75" customHeight="1">
      <c r="E404" s="4"/>
    </row>
    <row r="405" spans="5:5" ht="15.75" customHeight="1">
      <c r="E405" s="4"/>
    </row>
    <row r="406" spans="5:5" ht="15.75" customHeight="1">
      <c r="E406" s="4"/>
    </row>
    <row r="407" spans="5:5" ht="15.75" customHeight="1">
      <c r="E407" s="4"/>
    </row>
    <row r="408" spans="5:5" ht="15.75" customHeight="1">
      <c r="E408" s="4"/>
    </row>
    <row r="409" spans="5:5" ht="15.75" customHeight="1">
      <c r="E409" s="4"/>
    </row>
    <row r="410" spans="5:5" ht="15.75" customHeight="1">
      <c r="E410" s="4"/>
    </row>
    <row r="411" spans="5:5" ht="15.75" customHeight="1">
      <c r="E411" s="4"/>
    </row>
    <row r="412" spans="5:5" ht="15.75" customHeight="1">
      <c r="E412" s="4"/>
    </row>
    <row r="413" spans="5:5" ht="15.75" customHeight="1">
      <c r="E413" s="4"/>
    </row>
    <row r="414" spans="5:5" ht="15.75" customHeight="1">
      <c r="E414" s="4"/>
    </row>
    <row r="415" spans="5:5" ht="15.75" customHeight="1">
      <c r="E415" s="4"/>
    </row>
    <row r="416" spans="5:5" ht="15.75" customHeight="1">
      <c r="E416" s="4"/>
    </row>
    <row r="417" spans="5:5" ht="15.75" customHeight="1">
      <c r="E417" s="4"/>
    </row>
    <row r="418" spans="5:5" ht="15.75" customHeight="1">
      <c r="E418" s="4"/>
    </row>
    <row r="419" spans="5:5" ht="15.75" customHeight="1">
      <c r="E419" s="4"/>
    </row>
    <row r="420" spans="5:5" ht="15.75" customHeight="1">
      <c r="E420" s="4"/>
    </row>
    <row r="421" spans="5:5" ht="15.75" customHeight="1">
      <c r="E421" s="4"/>
    </row>
    <row r="422" spans="5:5" ht="15.75" customHeight="1">
      <c r="E422" s="4"/>
    </row>
    <row r="423" spans="5:5" ht="15.75" customHeight="1">
      <c r="E423" s="4"/>
    </row>
    <row r="424" spans="5:5" ht="15.75" customHeight="1">
      <c r="E424" s="4"/>
    </row>
    <row r="425" spans="5:5" ht="15.75" customHeight="1">
      <c r="E425" s="4"/>
    </row>
    <row r="426" spans="5:5" ht="15.75" customHeight="1">
      <c r="E426" s="4"/>
    </row>
    <row r="427" spans="5:5" ht="15.75" customHeight="1">
      <c r="E427" s="4"/>
    </row>
    <row r="428" spans="5:5" ht="15.75" customHeight="1">
      <c r="E428" s="4"/>
    </row>
    <row r="429" spans="5:5" ht="15.75" customHeight="1">
      <c r="E429" s="4"/>
    </row>
    <row r="430" spans="5:5" ht="15.75" customHeight="1">
      <c r="E430" s="4"/>
    </row>
    <row r="431" spans="5:5" ht="15.75" customHeight="1">
      <c r="E431" s="4"/>
    </row>
    <row r="432" spans="5:5" ht="15.75" customHeight="1">
      <c r="E432" s="4"/>
    </row>
    <row r="433" spans="5:5" ht="15.75" customHeight="1">
      <c r="E433" s="4"/>
    </row>
    <row r="434" spans="5:5" ht="15.75" customHeight="1">
      <c r="E434" s="4"/>
    </row>
    <row r="435" spans="5:5" ht="15.75" customHeight="1">
      <c r="E435" s="4"/>
    </row>
    <row r="436" spans="5:5" ht="15.75" customHeight="1">
      <c r="E436" s="4"/>
    </row>
    <row r="437" spans="5:5" ht="15.75" customHeight="1">
      <c r="E437" s="4"/>
    </row>
    <row r="438" spans="5:5" ht="15.75" customHeight="1">
      <c r="E438" s="4"/>
    </row>
    <row r="439" spans="5:5" ht="15.75" customHeight="1">
      <c r="E439" s="4"/>
    </row>
    <row r="440" spans="5:5" ht="15.75" customHeight="1">
      <c r="E440" s="4"/>
    </row>
    <row r="441" spans="5:5" ht="15.75" customHeight="1">
      <c r="E441" s="4"/>
    </row>
    <row r="442" spans="5:5" ht="15.75" customHeight="1">
      <c r="E442" s="4"/>
    </row>
    <row r="443" spans="5:5" ht="15.75" customHeight="1">
      <c r="E443" s="4"/>
    </row>
    <row r="444" spans="5:5" ht="15.75" customHeight="1">
      <c r="E444" s="4"/>
    </row>
    <row r="445" spans="5:5" ht="15.75" customHeight="1">
      <c r="E445" s="4"/>
    </row>
    <row r="446" spans="5:5" ht="15.75" customHeight="1">
      <c r="E446" s="4"/>
    </row>
    <row r="447" spans="5:5" ht="15.75" customHeight="1">
      <c r="E447" s="4"/>
    </row>
    <row r="448" spans="5:5" ht="15.75" customHeight="1">
      <c r="E448" s="4"/>
    </row>
    <row r="449" spans="5:5" ht="15.75" customHeight="1">
      <c r="E449" s="4"/>
    </row>
    <row r="450" spans="5:5" ht="15.75" customHeight="1">
      <c r="E450" s="4"/>
    </row>
    <row r="451" spans="5:5" ht="15.75" customHeight="1">
      <c r="E451" s="4"/>
    </row>
    <row r="452" spans="5:5" ht="15.75" customHeight="1">
      <c r="E452" s="4"/>
    </row>
    <row r="453" spans="5:5" ht="15.75" customHeight="1">
      <c r="E453" s="4"/>
    </row>
    <row r="454" spans="5:5" ht="15.75" customHeight="1">
      <c r="E454" s="4"/>
    </row>
    <row r="455" spans="5:5" ht="15.75" customHeight="1">
      <c r="E455" s="4"/>
    </row>
    <row r="456" spans="5:5" ht="15.75" customHeight="1">
      <c r="E456" s="4"/>
    </row>
    <row r="457" spans="5:5" ht="15.75" customHeight="1">
      <c r="E457" s="4"/>
    </row>
    <row r="458" spans="5:5" ht="15.75" customHeight="1">
      <c r="E458" s="4"/>
    </row>
    <row r="459" spans="5:5" ht="15.75" customHeight="1">
      <c r="E459" s="4"/>
    </row>
    <row r="460" spans="5:5" ht="15.75" customHeight="1">
      <c r="E460" s="4"/>
    </row>
    <row r="461" spans="5:5" ht="15.75" customHeight="1">
      <c r="E461" s="4"/>
    </row>
    <row r="462" spans="5:5" ht="15.75" customHeight="1">
      <c r="E462" s="4"/>
    </row>
    <row r="463" spans="5:5" ht="15.75" customHeight="1">
      <c r="E463" s="4"/>
    </row>
    <row r="464" spans="5:5" ht="15.75" customHeight="1">
      <c r="E464" s="4"/>
    </row>
    <row r="465" spans="5:5" ht="15.75" customHeight="1">
      <c r="E465" s="4"/>
    </row>
    <row r="466" spans="5:5" ht="15.75" customHeight="1">
      <c r="E466" s="4"/>
    </row>
    <row r="467" spans="5:5" ht="15.75" customHeight="1">
      <c r="E467" s="4"/>
    </row>
    <row r="468" spans="5:5" ht="15.75" customHeight="1">
      <c r="E468" s="4"/>
    </row>
    <row r="469" spans="5:5" ht="15.75" customHeight="1">
      <c r="E469" s="4"/>
    </row>
    <row r="470" spans="5:5" ht="15.75" customHeight="1">
      <c r="E470" s="4"/>
    </row>
    <row r="471" spans="5:5" ht="15.75" customHeight="1">
      <c r="E471" s="4"/>
    </row>
    <row r="472" spans="5:5" ht="15.75" customHeight="1">
      <c r="E472" s="4"/>
    </row>
    <row r="473" spans="5:5" ht="15.75" customHeight="1">
      <c r="E473" s="4"/>
    </row>
    <row r="474" spans="5:5" ht="15.75" customHeight="1">
      <c r="E474" s="4"/>
    </row>
    <row r="475" spans="5:5" ht="15.75" customHeight="1">
      <c r="E475" s="4"/>
    </row>
    <row r="476" spans="5:5" ht="15.75" customHeight="1">
      <c r="E476" s="4"/>
    </row>
    <row r="477" spans="5:5" ht="15.75" customHeight="1">
      <c r="E477" s="4"/>
    </row>
    <row r="478" spans="5:5" ht="15.75" customHeight="1">
      <c r="E478" s="4"/>
    </row>
    <row r="479" spans="5:5" ht="15.75" customHeight="1">
      <c r="E479" s="4"/>
    </row>
    <row r="480" spans="5:5" ht="15.75" customHeight="1">
      <c r="E480" s="4"/>
    </row>
    <row r="481" spans="5:5" ht="15.75" customHeight="1">
      <c r="E481" s="4"/>
    </row>
    <row r="482" spans="5:5" ht="15.75" customHeight="1">
      <c r="E482" s="4"/>
    </row>
    <row r="483" spans="5:5" ht="15.75" customHeight="1">
      <c r="E483" s="4"/>
    </row>
    <row r="484" spans="5:5" ht="15.75" customHeight="1">
      <c r="E484" s="4"/>
    </row>
    <row r="485" spans="5:5" ht="15.75" customHeight="1">
      <c r="E485" s="4"/>
    </row>
    <row r="486" spans="5:5" ht="15.75" customHeight="1">
      <c r="E486" s="4"/>
    </row>
    <row r="487" spans="5:5" ht="15.75" customHeight="1">
      <c r="E487" s="4"/>
    </row>
    <row r="488" spans="5:5" ht="15.75" customHeight="1">
      <c r="E488" s="4"/>
    </row>
    <row r="489" spans="5:5" ht="15.75" customHeight="1">
      <c r="E489" s="4"/>
    </row>
    <row r="490" spans="5:5" ht="15.75" customHeight="1">
      <c r="E490" s="4"/>
    </row>
    <row r="491" spans="5:5" ht="15.75" customHeight="1">
      <c r="E491" s="4"/>
    </row>
    <row r="492" spans="5:5" ht="15.75" customHeight="1">
      <c r="E492" s="4"/>
    </row>
    <row r="493" spans="5:5" ht="15.75" customHeight="1">
      <c r="E493" s="4"/>
    </row>
    <row r="494" spans="5:5" ht="15.75" customHeight="1">
      <c r="E494" s="4"/>
    </row>
    <row r="495" spans="5:5" ht="15.75" customHeight="1">
      <c r="E495" s="4"/>
    </row>
    <row r="496" spans="5:5" ht="15.75" customHeight="1">
      <c r="E496" s="4"/>
    </row>
    <row r="497" spans="5:5" ht="15.75" customHeight="1">
      <c r="E497" s="4"/>
    </row>
    <row r="498" spans="5:5" ht="15.75" customHeight="1">
      <c r="E498" s="4"/>
    </row>
    <row r="499" spans="5:5" ht="15.75" customHeight="1">
      <c r="E499" s="4"/>
    </row>
    <row r="500" spans="5:5" ht="15.75" customHeight="1">
      <c r="E500" s="4"/>
    </row>
    <row r="501" spans="5:5" ht="15.75" customHeight="1">
      <c r="E501" s="4"/>
    </row>
    <row r="502" spans="5:5" ht="15.75" customHeight="1">
      <c r="E502" s="4"/>
    </row>
    <row r="503" spans="5:5" ht="15.75" customHeight="1">
      <c r="E503" s="4"/>
    </row>
    <row r="504" spans="5:5" ht="15.75" customHeight="1">
      <c r="E504" s="4"/>
    </row>
    <row r="505" spans="5:5" ht="15.75" customHeight="1">
      <c r="E505" s="4"/>
    </row>
    <row r="506" spans="5:5" ht="15.75" customHeight="1">
      <c r="E506" s="4"/>
    </row>
    <row r="507" spans="5:5" ht="15.75" customHeight="1">
      <c r="E507" s="4"/>
    </row>
    <row r="508" spans="5:5" ht="15.75" customHeight="1">
      <c r="E508" s="4"/>
    </row>
    <row r="509" spans="5:5" ht="15.75" customHeight="1">
      <c r="E509" s="4"/>
    </row>
    <row r="510" spans="5:5" ht="15.75" customHeight="1">
      <c r="E510" s="4"/>
    </row>
    <row r="511" spans="5:5" ht="15.75" customHeight="1">
      <c r="E511" s="4"/>
    </row>
    <row r="512" spans="5:5" ht="15.75" customHeight="1">
      <c r="E512" s="4"/>
    </row>
    <row r="513" spans="5:5" ht="15.75" customHeight="1">
      <c r="E513" s="4"/>
    </row>
    <row r="514" spans="5:5" ht="15.75" customHeight="1">
      <c r="E514" s="4"/>
    </row>
    <row r="515" spans="5:5" ht="15.75" customHeight="1">
      <c r="E515" s="4"/>
    </row>
    <row r="516" spans="5:5" ht="15.75" customHeight="1">
      <c r="E516" s="4"/>
    </row>
    <row r="517" spans="5:5" ht="15.75" customHeight="1">
      <c r="E517" s="4"/>
    </row>
    <row r="518" spans="5:5" ht="15.75" customHeight="1">
      <c r="E518" s="4"/>
    </row>
    <row r="519" spans="5:5" ht="15.75" customHeight="1">
      <c r="E519" s="4"/>
    </row>
    <row r="520" spans="5:5" ht="15.75" customHeight="1">
      <c r="E520" s="4"/>
    </row>
    <row r="521" spans="5:5" ht="15.75" customHeight="1">
      <c r="E521" s="4"/>
    </row>
    <row r="522" spans="5:5" ht="15.75" customHeight="1">
      <c r="E522" s="4"/>
    </row>
    <row r="523" spans="5:5" ht="15.75" customHeight="1">
      <c r="E523" s="4"/>
    </row>
    <row r="524" spans="5:5" ht="15.75" customHeight="1">
      <c r="E524" s="4"/>
    </row>
    <row r="525" spans="5:5" ht="15.75" customHeight="1">
      <c r="E525" s="4"/>
    </row>
    <row r="526" spans="5:5" ht="15.75" customHeight="1">
      <c r="E526" s="4"/>
    </row>
    <row r="527" spans="5:5" ht="15.75" customHeight="1">
      <c r="E527" s="4"/>
    </row>
    <row r="528" spans="5:5" ht="15.75" customHeight="1">
      <c r="E528" s="4"/>
    </row>
    <row r="529" spans="5:5" ht="15.75" customHeight="1">
      <c r="E529" s="4"/>
    </row>
    <row r="530" spans="5:5" ht="15.75" customHeight="1">
      <c r="E530" s="4"/>
    </row>
    <row r="531" spans="5:5" ht="15.75" customHeight="1">
      <c r="E531" s="4"/>
    </row>
    <row r="532" spans="5:5" ht="15.75" customHeight="1">
      <c r="E532" s="4"/>
    </row>
    <row r="533" spans="5:5" ht="15.75" customHeight="1">
      <c r="E533" s="4"/>
    </row>
    <row r="534" spans="5:5" ht="15.75" customHeight="1">
      <c r="E534" s="4"/>
    </row>
    <row r="535" spans="5:5" ht="15.75" customHeight="1">
      <c r="E535" s="4"/>
    </row>
    <row r="536" spans="5:5" ht="15.75" customHeight="1">
      <c r="E536" s="4"/>
    </row>
    <row r="537" spans="5:5" ht="15.75" customHeight="1">
      <c r="E537" s="4"/>
    </row>
    <row r="538" spans="5:5" ht="15.75" customHeight="1">
      <c r="E538" s="4"/>
    </row>
    <row r="539" spans="5:5" ht="15.75" customHeight="1">
      <c r="E539" s="4"/>
    </row>
    <row r="540" spans="5:5" ht="15.75" customHeight="1">
      <c r="E540" s="4"/>
    </row>
    <row r="541" spans="5:5" ht="15.75" customHeight="1">
      <c r="E541" s="4"/>
    </row>
    <row r="542" spans="5:5" ht="15.75" customHeight="1">
      <c r="E542" s="4"/>
    </row>
    <row r="543" spans="5:5" ht="15.75" customHeight="1">
      <c r="E543" s="4"/>
    </row>
    <row r="544" spans="5:5" ht="15.75" customHeight="1">
      <c r="E544" s="4"/>
    </row>
    <row r="545" spans="5:5" ht="15.75" customHeight="1">
      <c r="E545" s="4"/>
    </row>
    <row r="546" spans="5:5" ht="15.75" customHeight="1">
      <c r="E546" s="4"/>
    </row>
    <row r="547" spans="5:5" ht="15.75" customHeight="1">
      <c r="E547" s="4"/>
    </row>
    <row r="548" spans="5:5" ht="15.75" customHeight="1">
      <c r="E548" s="4"/>
    </row>
    <row r="549" spans="5:5" ht="15.75" customHeight="1">
      <c r="E549" s="4"/>
    </row>
    <row r="550" spans="5:5" ht="15.75" customHeight="1">
      <c r="E550" s="4"/>
    </row>
    <row r="551" spans="5:5" ht="15.75" customHeight="1">
      <c r="E551" s="4"/>
    </row>
    <row r="552" spans="5:5" ht="15.75" customHeight="1">
      <c r="E552" s="4"/>
    </row>
    <row r="553" spans="5:5" ht="15.75" customHeight="1">
      <c r="E553" s="4"/>
    </row>
    <row r="554" spans="5:5" ht="15.75" customHeight="1">
      <c r="E554" s="4"/>
    </row>
    <row r="555" spans="5:5" ht="15.75" customHeight="1">
      <c r="E555" s="4"/>
    </row>
    <row r="556" spans="5:5" ht="15.75" customHeight="1">
      <c r="E556" s="4"/>
    </row>
    <row r="557" spans="5:5" ht="15.75" customHeight="1">
      <c r="E557" s="4"/>
    </row>
    <row r="558" spans="5:5" ht="15.75" customHeight="1">
      <c r="E558" s="4"/>
    </row>
    <row r="559" spans="5:5" ht="15.75" customHeight="1">
      <c r="E559" s="4"/>
    </row>
    <row r="560" spans="5:5" ht="15.75" customHeight="1">
      <c r="E560" s="4"/>
    </row>
    <row r="561" spans="5:5" ht="15.75" customHeight="1">
      <c r="E561" s="4"/>
    </row>
    <row r="562" spans="5:5" ht="15.75" customHeight="1">
      <c r="E562" s="4"/>
    </row>
    <row r="563" spans="5:5" ht="15.75" customHeight="1">
      <c r="E563" s="4"/>
    </row>
    <row r="564" spans="5:5" ht="15.75" customHeight="1">
      <c r="E564" s="4"/>
    </row>
    <row r="565" spans="5:5" ht="15.75" customHeight="1">
      <c r="E565" s="4"/>
    </row>
    <row r="566" spans="5:5" ht="15.75" customHeight="1">
      <c r="E566" s="4"/>
    </row>
    <row r="567" spans="5:5" ht="15.75" customHeight="1">
      <c r="E567" s="4"/>
    </row>
    <row r="568" spans="5:5" ht="15.75" customHeight="1">
      <c r="E568" s="4"/>
    </row>
    <row r="569" spans="5:5" ht="15.75" customHeight="1">
      <c r="E569" s="4"/>
    </row>
    <row r="570" spans="5:5" ht="15.75" customHeight="1">
      <c r="E570" s="4"/>
    </row>
    <row r="571" spans="5:5" ht="15.75" customHeight="1">
      <c r="E571" s="4"/>
    </row>
    <row r="572" spans="5:5" ht="15.75" customHeight="1">
      <c r="E572" s="4"/>
    </row>
    <row r="573" spans="5:5" ht="15.75" customHeight="1">
      <c r="E573" s="4"/>
    </row>
    <row r="574" spans="5:5" ht="15.75" customHeight="1">
      <c r="E574" s="4"/>
    </row>
    <row r="575" spans="5:5" ht="15.75" customHeight="1">
      <c r="E575" s="4"/>
    </row>
    <row r="576" spans="5:5" ht="15.75" customHeight="1">
      <c r="E576" s="4"/>
    </row>
    <row r="577" spans="5:5" ht="15.75" customHeight="1">
      <c r="E577" s="4"/>
    </row>
    <row r="578" spans="5:5" ht="15.75" customHeight="1">
      <c r="E578" s="4"/>
    </row>
    <row r="579" spans="5:5" ht="15.75" customHeight="1">
      <c r="E579" s="4"/>
    </row>
    <row r="580" spans="5:5" ht="15.75" customHeight="1">
      <c r="E580" s="4"/>
    </row>
    <row r="581" spans="5:5" ht="15.75" customHeight="1">
      <c r="E581" s="4"/>
    </row>
    <row r="582" spans="5:5" ht="15.75" customHeight="1">
      <c r="E582" s="4"/>
    </row>
    <row r="583" spans="5:5" ht="15.75" customHeight="1">
      <c r="E583" s="4"/>
    </row>
    <row r="584" spans="5:5" ht="15.75" customHeight="1">
      <c r="E584" s="4"/>
    </row>
    <row r="585" spans="5:5" ht="15.75" customHeight="1">
      <c r="E585" s="4"/>
    </row>
    <row r="586" spans="5:5" ht="15.75" customHeight="1">
      <c r="E586" s="4"/>
    </row>
    <row r="587" spans="5:5" ht="15.75" customHeight="1">
      <c r="E587" s="4"/>
    </row>
    <row r="588" spans="5:5" ht="15.75" customHeight="1">
      <c r="E588" s="4"/>
    </row>
    <row r="589" spans="5:5" ht="15.75" customHeight="1">
      <c r="E589" s="4"/>
    </row>
    <row r="590" spans="5:5" ht="15.75" customHeight="1">
      <c r="E590" s="4"/>
    </row>
    <row r="591" spans="5:5" ht="15.75" customHeight="1">
      <c r="E591" s="4"/>
    </row>
    <row r="592" spans="5:5" ht="15.75" customHeight="1">
      <c r="E592" s="4"/>
    </row>
    <row r="593" spans="5:5" ht="15.75" customHeight="1">
      <c r="E593" s="4"/>
    </row>
    <row r="594" spans="5:5" ht="15.75" customHeight="1">
      <c r="E594" s="4"/>
    </row>
    <row r="595" spans="5:5" ht="15.75" customHeight="1">
      <c r="E595" s="4"/>
    </row>
    <row r="596" spans="5:5" ht="15.75" customHeight="1">
      <c r="E596" s="4"/>
    </row>
    <row r="597" spans="5:5" ht="15.75" customHeight="1">
      <c r="E597" s="4"/>
    </row>
    <row r="598" spans="5:5" ht="15.75" customHeight="1">
      <c r="E598" s="4"/>
    </row>
    <row r="599" spans="5:5" ht="15.75" customHeight="1">
      <c r="E599" s="4"/>
    </row>
    <row r="600" spans="5:5" ht="15.75" customHeight="1">
      <c r="E600" s="4"/>
    </row>
    <row r="601" spans="5:5" ht="15.75" customHeight="1">
      <c r="E601" s="4"/>
    </row>
    <row r="602" spans="5:5" ht="15.75" customHeight="1">
      <c r="E602" s="4"/>
    </row>
    <row r="603" spans="5:5" ht="15.75" customHeight="1">
      <c r="E603" s="4"/>
    </row>
    <row r="604" spans="5:5" ht="15.75" customHeight="1">
      <c r="E604" s="4"/>
    </row>
    <row r="605" spans="5:5" ht="15.75" customHeight="1">
      <c r="E605" s="4"/>
    </row>
    <row r="606" spans="5:5" ht="15.75" customHeight="1">
      <c r="E606" s="4"/>
    </row>
    <row r="607" spans="5:5" ht="15.75" customHeight="1">
      <c r="E607" s="4"/>
    </row>
    <row r="608" spans="5:5" ht="15.75" customHeight="1">
      <c r="E608" s="4"/>
    </row>
    <row r="609" spans="5:5" ht="15.75" customHeight="1">
      <c r="E609" s="4"/>
    </row>
    <row r="610" spans="5:5" ht="15.75" customHeight="1">
      <c r="E610" s="4"/>
    </row>
    <row r="611" spans="5:5" ht="15.75" customHeight="1">
      <c r="E611" s="4"/>
    </row>
    <row r="612" spans="5:5" ht="15.75" customHeight="1">
      <c r="E612" s="4"/>
    </row>
    <row r="613" spans="5:5" ht="15.75" customHeight="1">
      <c r="E613" s="4"/>
    </row>
    <row r="614" spans="5:5" ht="15.75" customHeight="1">
      <c r="E614" s="4"/>
    </row>
    <row r="615" spans="5:5" ht="15.75" customHeight="1">
      <c r="E615" s="4"/>
    </row>
    <row r="616" spans="5:5" ht="15.75" customHeight="1">
      <c r="E616" s="4"/>
    </row>
    <row r="617" spans="5:5" ht="15.75" customHeight="1">
      <c r="E617" s="4"/>
    </row>
    <row r="618" spans="5:5" ht="15.75" customHeight="1">
      <c r="E618" s="4"/>
    </row>
    <row r="619" spans="5:5" ht="15.75" customHeight="1">
      <c r="E619" s="4"/>
    </row>
    <row r="620" spans="5:5" ht="15.75" customHeight="1">
      <c r="E620" s="4"/>
    </row>
    <row r="621" spans="5:5" ht="15.75" customHeight="1">
      <c r="E621" s="4"/>
    </row>
    <row r="622" spans="5:5" ht="15.75" customHeight="1">
      <c r="E622" s="4"/>
    </row>
    <row r="623" spans="5:5" ht="15.75" customHeight="1">
      <c r="E623" s="4"/>
    </row>
    <row r="624" spans="5:5" ht="15.75" customHeight="1">
      <c r="E624" s="4"/>
    </row>
    <row r="625" spans="5:5" ht="15.75" customHeight="1">
      <c r="E625" s="4"/>
    </row>
    <row r="626" spans="5:5" ht="15.75" customHeight="1">
      <c r="E626" s="4"/>
    </row>
    <row r="627" spans="5:5" ht="15.75" customHeight="1">
      <c r="E627" s="4"/>
    </row>
    <row r="628" spans="5:5" ht="15.75" customHeight="1">
      <c r="E628" s="4"/>
    </row>
    <row r="629" spans="5:5" ht="15.75" customHeight="1">
      <c r="E629" s="4"/>
    </row>
    <row r="630" spans="5:5" ht="15.75" customHeight="1">
      <c r="E630" s="4"/>
    </row>
    <row r="631" spans="5:5" ht="15.75" customHeight="1">
      <c r="E631" s="4"/>
    </row>
    <row r="632" spans="5:5" ht="15.75" customHeight="1">
      <c r="E632" s="4"/>
    </row>
    <row r="633" spans="5:5" ht="15.75" customHeight="1">
      <c r="E633" s="4"/>
    </row>
    <row r="634" spans="5:5" ht="15.75" customHeight="1">
      <c r="E634" s="4"/>
    </row>
    <row r="635" spans="5:5" ht="15.75" customHeight="1">
      <c r="E635" s="4"/>
    </row>
    <row r="636" spans="5:5" ht="15.75" customHeight="1">
      <c r="E636" s="4"/>
    </row>
    <row r="637" spans="5:5" ht="15.75" customHeight="1">
      <c r="E637" s="4"/>
    </row>
    <row r="638" spans="5:5" ht="15.75" customHeight="1">
      <c r="E638" s="4"/>
    </row>
    <row r="639" spans="5:5" ht="15.75" customHeight="1">
      <c r="E639" s="4"/>
    </row>
    <row r="640" spans="5:5" ht="15.75" customHeight="1">
      <c r="E640" s="4"/>
    </row>
    <row r="641" spans="5:5" ht="15.75" customHeight="1">
      <c r="E641" s="4"/>
    </row>
    <row r="642" spans="5:5" ht="15.75" customHeight="1">
      <c r="E642" s="4"/>
    </row>
    <row r="643" spans="5:5" ht="15.75" customHeight="1">
      <c r="E643" s="4"/>
    </row>
    <row r="644" spans="5:5" ht="15.75" customHeight="1">
      <c r="E644" s="4"/>
    </row>
    <row r="645" spans="5:5" ht="15.75" customHeight="1">
      <c r="E645" s="4"/>
    </row>
    <row r="646" spans="5:5" ht="15.75" customHeight="1">
      <c r="E646" s="4"/>
    </row>
    <row r="647" spans="5:5" ht="15.75" customHeight="1">
      <c r="E647" s="4"/>
    </row>
    <row r="648" spans="5:5" ht="15.75" customHeight="1">
      <c r="E648" s="4"/>
    </row>
    <row r="649" spans="5:5" ht="15.75" customHeight="1">
      <c r="E649" s="4"/>
    </row>
    <row r="650" spans="5:5" ht="15.75" customHeight="1">
      <c r="E650" s="4"/>
    </row>
    <row r="651" spans="5:5" ht="15.75" customHeight="1">
      <c r="E651" s="4"/>
    </row>
    <row r="652" spans="5:5" ht="15.75" customHeight="1">
      <c r="E652" s="4"/>
    </row>
    <row r="653" spans="5:5" ht="15.75" customHeight="1">
      <c r="E653" s="4"/>
    </row>
    <row r="654" spans="5:5" ht="15.75" customHeight="1">
      <c r="E654" s="4"/>
    </row>
    <row r="655" spans="5:5" ht="15.75" customHeight="1">
      <c r="E655" s="4"/>
    </row>
    <row r="656" spans="5:5" ht="15.75" customHeight="1">
      <c r="E656" s="4"/>
    </row>
    <row r="657" spans="5:5" ht="15.75" customHeight="1">
      <c r="E657" s="4"/>
    </row>
    <row r="658" spans="5:5" ht="15.75" customHeight="1">
      <c r="E658" s="4"/>
    </row>
    <row r="659" spans="5:5" ht="15.75" customHeight="1">
      <c r="E659" s="4"/>
    </row>
    <row r="660" spans="5:5" ht="15.75" customHeight="1">
      <c r="E660" s="4"/>
    </row>
    <row r="661" spans="5:5" ht="15.75" customHeight="1">
      <c r="E661" s="4"/>
    </row>
    <row r="662" spans="5:5" ht="15.75" customHeight="1">
      <c r="E662" s="4"/>
    </row>
    <row r="663" spans="5:5" ht="15.75" customHeight="1">
      <c r="E663" s="4"/>
    </row>
    <row r="664" spans="5:5" ht="15.75" customHeight="1">
      <c r="E664" s="4"/>
    </row>
    <row r="665" spans="5:5" ht="15.75" customHeight="1">
      <c r="E665" s="4"/>
    </row>
    <row r="666" spans="5:5" ht="15.75" customHeight="1">
      <c r="E666" s="4"/>
    </row>
    <row r="667" spans="5:5" ht="15.75" customHeight="1">
      <c r="E667" s="4"/>
    </row>
    <row r="668" spans="5:5" ht="15.75" customHeight="1">
      <c r="E668" s="4"/>
    </row>
    <row r="669" spans="5:5" ht="15.75" customHeight="1">
      <c r="E669" s="4"/>
    </row>
    <row r="670" spans="5:5" ht="15.75" customHeight="1">
      <c r="E670" s="4"/>
    </row>
    <row r="671" spans="5:5" ht="15.75" customHeight="1">
      <c r="E671" s="4"/>
    </row>
    <row r="672" spans="5:5" ht="15.75" customHeight="1">
      <c r="E672" s="4"/>
    </row>
    <row r="673" spans="5:5" ht="15.75" customHeight="1">
      <c r="E673" s="4"/>
    </row>
    <row r="674" spans="5:5" ht="15.75" customHeight="1">
      <c r="E674" s="4"/>
    </row>
    <row r="675" spans="5:5" ht="15.75" customHeight="1">
      <c r="E675" s="4"/>
    </row>
    <row r="676" spans="5:5" ht="15.75" customHeight="1">
      <c r="E676" s="4"/>
    </row>
    <row r="677" spans="5:5" ht="15.75" customHeight="1">
      <c r="E677" s="4"/>
    </row>
    <row r="678" spans="5:5" ht="15.75" customHeight="1">
      <c r="E678" s="4"/>
    </row>
    <row r="679" spans="5:5" ht="15.75" customHeight="1">
      <c r="E679" s="4"/>
    </row>
    <row r="680" spans="5:5" ht="15.75" customHeight="1">
      <c r="E680" s="4"/>
    </row>
    <row r="681" spans="5:5" ht="15.75" customHeight="1">
      <c r="E681" s="4"/>
    </row>
    <row r="682" spans="5:5" ht="15.75" customHeight="1">
      <c r="E682" s="4"/>
    </row>
    <row r="683" spans="5:5" ht="15.75" customHeight="1">
      <c r="E683" s="4"/>
    </row>
    <row r="684" spans="5:5" ht="15.75" customHeight="1">
      <c r="E684" s="4"/>
    </row>
    <row r="685" spans="5:5" ht="15.75" customHeight="1">
      <c r="E685" s="4"/>
    </row>
    <row r="686" spans="5:5" ht="15.75" customHeight="1">
      <c r="E686" s="4"/>
    </row>
    <row r="687" spans="5:5" ht="15.75" customHeight="1">
      <c r="E687" s="4"/>
    </row>
    <row r="688" spans="5:5" ht="15.75" customHeight="1">
      <c r="E688" s="4"/>
    </row>
    <row r="689" spans="5:5" ht="15.75" customHeight="1">
      <c r="E689" s="4"/>
    </row>
    <row r="690" spans="5:5" ht="15.75" customHeight="1">
      <c r="E690" s="4"/>
    </row>
    <row r="691" spans="5:5" ht="15.75" customHeight="1">
      <c r="E691" s="4"/>
    </row>
    <row r="692" spans="5:5" ht="15.75" customHeight="1">
      <c r="E692" s="4"/>
    </row>
    <row r="693" spans="5:5" ht="15.75" customHeight="1">
      <c r="E693" s="4"/>
    </row>
    <row r="694" spans="5:5" ht="15.75" customHeight="1">
      <c r="E694" s="4"/>
    </row>
    <row r="695" spans="5:5" ht="15.75" customHeight="1">
      <c r="E695" s="4"/>
    </row>
    <row r="696" spans="5:5" ht="15.75" customHeight="1">
      <c r="E696" s="4"/>
    </row>
    <row r="697" spans="5:5" ht="15.75" customHeight="1">
      <c r="E697" s="4"/>
    </row>
    <row r="698" spans="5:5" ht="15.75" customHeight="1">
      <c r="E698" s="4"/>
    </row>
    <row r="699" spans="5:5" ht="15.75" customHeight="1">
      <c r="E699" s="4"/>
    </row>
    <row r="700" spans="5:5" ht="15.75" customHeight="1">
      <c r="E700" s="4"/>
    </row>
    <row r="701" spans="5:5" ht="15.75" customHeight="1">
      <c r="E701" s="4"/>
    </row>
    <row r="702" spans="5:5" ht="15.75" customHeight="1">
      <c r="E702" s="4"/>
    </row>
    <row r="703" spans="5:5" ht="15.75" customHeight="1">
      <c r="E703" s="4"/>
    </row>
    <row r="704" spans="5:5" ht="15.75" customHeight="1">
      <c r="E704" s="4"/>
    </row>
    <row r="705" spans="5:5" ht="15.75" customHeight="1">
      <c r="E705" s="4"/>
    </row>
    <row r="706" spans="5:5" ht="15.75" customHeight="1">
      <c r="E706" s="4"/>
    </row>
    <row r="707" spans="5:5" ht="15.75" customHeight="1">
      <c r="E707" s="4"/>
    </row>
    <row r="708" spans="5:5" ht="15.75" customHeight="1">
      <c r="E708" s="4"/>
    </row>
    <row r="709" spans="5:5" ht="15.75" customHeight="1">
      <c r="E709" s="4"/>
    </row>
    <row r="710" spans="5:5" ht="15.75" customHeight="1">
      <c r="E710" s="4"/>
    </row>
    <row r="711" spans="5:5" ht="15.75" customHeight="1">
      <c r="E711" s="4"/>
    </row>
    <row r="712" spans="5:5" ht="15.75" customHeight="1">
      <c r="E712" s="4"/>
    </row>
    <row r="713" spans="5:5" ht="15.75" customHeight="1">
      <c r="E713" s="4"/>
    </row>
    <row r="714" spans="5:5" ht="15.75" customHeight="1">
      <c r="E714" s="4"/>
    </row>
    <row r="715" spans="5:5" ht="15.75" customHeight="1">
      <c r="E715" s="4"/>
    </row>
    <row r="716" spans="5:5" ht="15.75" customHeight="1">
      <c r="E716" s="4"/>
    </row>
    <row r="717" spans="5:5" ht="15.75" customHeight="1">
      <c r="E717" s="4"/>
    </row>
    <row r="718" spans="5:5" ht="15.75" customHeight="1">
      <c r="E718" s="4"/>
    </row>
    <row r="719" spans="5:5" ht="15.75" customHeight="1">
      <c r="E719" s="4"/>
    </row>
    <row r="720" spans="5:5" ht="15.75" customHeight="1">
      <c r="E720" s="4"/>
    </row>
    <row r="721" spans="5:5" ht="15.75" customHeight="1">
      <c r="E721" s="4"/>
    </row>
    <row r="722" spans="5:5" ht="15.75" customHeight="1">
      <c r="E722" s="4"/>
    </row>
    <row r="723" spans="5:5" ht="15.75" customHeight="1">
      <c r="E723" s="4"/>
    </row>
    <row r="724" spans="5:5" ht="15.75" customHeight="1">
      <c r="E724" s="4"/>
    </row>
    <row r="725" spans="5:5" ht="15.75" customHeight="1">
      <c r="E725" s="4"/>
    </row>
    <row r="726" spans="5:5" ht="15.75" customHeight="1">
      <c r="E726" s="4"/>
    </row>
    <row r="727" spans="5:5" ht="15.75" customHeight="1">
      <c r="E727" s="4"/>
    </row>
    <row r="728" spans="5:5" ht="15.75" customHeight="1">
      <c r="E728" s="4"/>
    </row>
    <row r="729" spans="5:5" ht="15.75" customHeight="1">
      <c r="E729" s="4"/>
    </row>
    <row r="730" spans="5:5" ht="15.75" customHeight="1">
      <c r="E730" s="4"/>
    </row>
    <row r="731" spans="5:5" ht="15.75" customHeight="1">
      <c r="E731" s="4"/>
    </row>
    <row r="732" spans="5:5" ht="15.75" customHeight="1">
      <c r="E732" s="4"/>
    </row>
    <row r="733" spans="5:5" ht="15.75" customHeight="1">
      <c r="E733" s="4"/>
    </row>
    <row r="734" spans="5:5" ht="15.75" customHeight="1">
      <c r="E734" s="4"/>
    </row>
    <row r="735" spans="5:5" ht="15.75" customHeight="1">
      <c r="E735" s="4"/>
    </row>
    <row r="736" spans="5:5" ht="15.75" customHeight="1">
      <c r="E736" s="4"/>
    </row>
    <row r="737" spans="5:5" ht="15.75" customHeight="1">
      <c r="E737" s="4"/>
    </row>
    <row r="738" spans="5:5" ht="15.75" customHeight="1">
      <c r="E738" s="4"/>
    </row>
    <row r="739" spans="5:5" ht="15.75" customHeight="1">
      <c r="E739" s="4"/>
    </row>
    <row r="740" spans="5:5" ht="15.75" customHeight="1">
      <c r="E740" s="4"/>
    </row>
    <row r="741" spans="5:5" ht="15.75" customHeight="1">
      <c r="E741" s="4"/>
    </row>
    <row r="742" spans="5:5" ht="15.75" customHeight="1">
      <c r="E742" s="4"/>
    </row>
    <row r="743" spans="5:5" ht="15.75" customHeight="1">
      <c r="E743" s="4"/>
    </row>
    <row r="744" spans="5:5" ht="15.75" customHeight="1">
      <c r="E744" s="4"/>
    </row>
    <row r="745" spans="5:5" ht="15.75" customHeight="1">
      <c r="E745" s="4"/>
    </row>
    <row r="746" spans="5:5" ht="15.75" customHeight="1">
      <c r="E746" s="4"/>
    </row>
    <row r="747" spans="5:5" ht="15.75" customHeight="1">
      <c r="E747" s="4"/>
    </row>
    <row r="748" spans="5:5" ht="15.75" customHeight="1">
      <c r="E748" s="4"/>
    </row>
    <row r="749" spans="5:5" ht="15.75" customHeight="1">
      <c r="E749" s="4"/>
    </row>
    <row r="750" spans="5:5" ht="15.75" customHeight="1">
      <c r="E750" s="4"/>
    </row>
    <row r="751" spans="5:5" ht="15.75" customHeight="1">
      <c r="E751" s="4"/>
    </row>
    <row r="752" spans="5:5" ht="15.75" customHeight="1">
      <c r="E752" s="4"/>
    </row>
    <row r="753" spans="5:5" ht="15.75" customHeight="1">
      <c r="E753" s="4"/>
    </row>
    <row r="754" spans="5:5" ht="15.75" customHeight="1">
      <c r="E754" s="4"/>
    </row>
    <row r="755" spans="5:5" ht="15.75" customHeight="1">
      <c r="E755" s="4"/>
    </row>
    <row r="756" spans="5:5" ht="15.75" customHeight="1">
      <c r="E756" s="4"/>
    </row>
    <row r="757" spans="5:5" ht="15.75" customHeight="1">
      <c r="E757" s="4"/>
    </row>
    <row r="758" spans="5:5" ht="15.75" customHeight="1">
      <c r="E758" s="4"/>
    </row>
    <row r="759" spans="5:5" ht="15.75" customHeight="1">
      <c r="E759" s="4"/>
    </row>
    <row r="760" spans="5:5" ht="15.75" customHeight="1">
      <c r="E760" s="4"/>
    </row>
    <row r="761" spans="5:5" ht="15.75" customHeight="1">
      <c r="E761" s="4"/>
    </row>
    <row r="762" spans="5:5" ht="15.75" customHeight="1">
      <c r="E762" s="4"/>
    </row>
    <row r="763" spans="5:5" ht="15.75" customHeight="1">
      <c r="E763" s="4"/>
    </row>
    <row r="764" spans="5:5" ht="15.75" customHeight="1">
      <c r="E764" s="4"/>
    </row>
    <row r="765" spans="5:5" ht="15.75" customHeight="1">
      <c r="E765" s="4"/>
    </row>
    <row r="766" spans="5:5" ht="15.75" customHeight="1">
      <c r="E766" s="4"/>
    </row>
    <row r="767" spans="5:5" ht="15.75" customHeight="1">
      <c r="E767" s="4"/>
    </row>
    <row r="768" spans="5:5" ht="15.75" customHeight="1">
      <c r="E768" s="4"/>
    </row>
    <row r="769" spans="5:5" ht="15.75" customHeight="1">
      <c r="E769" s="4"/>
    </row>
    <row r="770" spans="5:5" ht="15.75" customHeight="1">
      <c r="E770" s="4"/>
    </row>
    <row r="771" spans="5:5" ht="15.75" customHeight="1">
      <c r="E771" s="4"/>
    </row>
    <row r="772" spans="5:5" ht="15.75" customHeight="1">
      <c r="E772" s="4"/>
    </row>
    <row r="773" spans="5:5" ht="15.75" customHeight="1">
      <c r="E773" s="4"/>
    </row>
    <row r="774" spans="5:5" ht="15.75" customHeight="1">
      <c r="E774" s="4"/>
    </row>
    <row r="775" spans="5:5" ht="15.75" customHeight="1">
      <c r="E775" s="4"/>
    </row>
    <row r="776" spans="5:5" ht="15.75" customHeight="1">
      <c r="E776" s="4"/>
    </row>
    <row r="777" spans="5:5" ht="15.75" customHeight="1">
      <c r="E777" s="4"/>
    </row>
    <row r="778" spans="5:5" ht="15.75" customHeight="1">
      <c r="E778" s="4"/>
    </row>
    <row r="779" spans="5:5" ht="15.75" customHeight="1">
      <c r="E779" s="4"/>
    </row>
    <row r="780" spans="5:5" ht="15.75" customHeight="1">
      <c r="E780" s="4"/>
    </row>
    <row r="781" spans="5:5" ht="15.75" customHeight="1">
      <c r="E781" s="4"/>
    </row>
    <row r="782" spans="5:5" ht="15.75" customHeight="1">
      <c r="E782" s="4"/>
    </row>
    <row r="783" spans="5:5" ht="15.75" customHeight="1">
      <c r="E783" s="4"/>
    </row>
    <row r="784" spans="5:5" ht="15.75" customHeight="1">
      <c r="E784" s="4"/>
    </row>
    <row r="785" spans="5:5" ht="15.75" customHeight="1">
      <c r="E785" s="4"/>
    </row>
    <row r="786" spans="5:5" ht="15.75" customHeight="1">
      <c r="E786" s="4"/>
    </row>
    <row r="787" spans="5:5" ht="15.75" customHeight="1">
      <c r="E787" s="4"/>
    </row>
    <row r="788" spans="5:5" ht="15.75" customHeight="1">
      <c r="E788" s="4"/>
    </row>
    <row r="789" spans="5:5" ht="15.75" customHeight="1">
      <c r="E789" s="4"/>
    </row>
    <row r="790" spans="5:5" ht="15.75" customHeight="1">
      <c r="E790" s="4"/>
    </row>
    <row r="791" spans="5:5" ht="15.75" customHeight="1">
      <c r="E791" s="4"/>
    </row>
    <row r="792" spans="5:5" ht="15.75" customHeight="1">
      <c r="E792" s="4"/>
    </row>
    <row r="793" spans="5:5" ht="15.75" customHeight="1">
      <c r="E793" s="4"/>
    </row>
    <row r="794" spans="5:5" ht="15.75" customHeight="1">
      <c r="E794" s="4"/>
    </row>
    <row r="795" spans="5:5" ht="15.75" customHeight="1">
      <c r="E795" s="4"/>
    </row>
    <row r="796" spans="5:5" ht="15.75" customHeight="1">
      <c r="E796" s="4"/>
    </row>
    <row r="797" spans="5:5" ht="15.75" customHeight="1">
      <c r="E797" s="4"/>
    </row>
    <row r="798" spans="5:5" ht="15.75" customHeight="1">
      <c r="E798" s="4"/>
    </row>
    <row r="799" spans="5:5" ht="15.75" customHeight="1">
      <c r="E799" s="4"/>
    </row>
    <row r="800" spans="5:5" ht="15.75" customHeight="1">
      <c r="E800" s="4"/>
    </row>
    <row r="801" spans="5:5" ht="15.75" customHeight="1">
      <c r="E801" s="4"/>
    </row>
    <row r="802" spans="5:5" ht="15.75" customHeight="1">
      <c r="E802" s="4"/>
    </row>
    <row r="803" spans="5:5" ht="15.75" customHeight="1">
      <c r="E803" s="4"/>
    </row>
    <row r="804" spans="5:5" ht="15.75" customHeight="1">
      <c r="E804" s="4"/>
    </row>
    <row r="805" spans="5:5" ht="15.75" customHeight="1">
      <c r="E805" s="4"/>
    </row>
    <row r="806" spans="5:5" ht="15.75" customHeight="1">
      <c r="E806" s="4"/>
    </row>
    <row r="807" spans="5:5" ht="15.75" customHeight="1">
      <c r="E807" s="4"/>
    </row>
    <row r="808" spans="5:5" ht="15.75" customHeight="1">
      <c r="E808" s="4"/>
    </row>
    <row r="809" spans="5:5" ht="15.75" customHeight="1">
      <c r="E809" s="4"/>
    </row>
    <row r="810" spans="5:5" ht="15.75" customHeight="1">
      <c r="E810" s="4"/>
    </row>
    <row r="811" spans="5:5" ht="15.75" customHeight="1">
      <c r="E811" s="4"/>
    </row>
    <row r="812" spans="5:5" ht="15.75" customHeight="1">
      <c r="E812" s="4"/>
    </row>
    <row r="813" spans="5:5" ht="15.75" customHeight="1">
      <c r="E813" s="4"/>
    </row>
    <row r="814" spans="5:5" ht="15.75" customHeight="1">
      <c r="E814" s="4"/>
    </row>
    <row r="815" spans="5:5" ht="15.75" customHeight="1">
      <c r="E815" s="4"/>
    </row>
    <row r="816" spans="5:5" ht="15.75" customHeight="1">
      <c r="E816" s="4"/>
    </row>
    <row r="817" spans="5:5" ht="15.75" customHeight="1">
      <c r="E817" s="4"/>
    </row>
    <row r="818" spans="5:5" ht="15.75" customHeight="1">
      <c r="E818" s="4"/>
    </row>
    <row r="819" spans="5:5" ht="15.75" customHeight="1">
      <c r="E819" s="4"/>
    </row>
    <row r="820" spans="5:5" ht="15.75" customHeight="1">
      <c r="E820" s="4"/>
    </row>
    <row r="821" spans="5:5" ht="15.75" customHeight="1">
      <c r="E821" s="4"/>
    </row>
    <row r="822" spans="5:5" ht="15.75" customHeight="1">
      <c r="E822" s="4"/>
    </row>
    <row r="823" spans="5:5" ht="15.75" customHeight="1">
      <c r="E823" s="4"/>
    </row>
    <row r="824" spans="5:5" ht="15.75" customHeight="1">
      <c r="E824" s="4"/>
    </row>
    <row r="825" spans="5:5" ht="15.75" customHeight="1">
      <c r="E825" s="4"/>
    </row>
    <row r="826" spans="5:5" ht="15.75" customHeight="1">
      <c r="E826" s="4"/>
    </row>
    <row r="827" spans="5:5" ht="15.75" customHeight="1">
      <c r="E827" s="4"/>
    </row>
    <row r="828" spans="5:5" ht="15.75" customHeight="1">
      <c r="E828" s="4"/>
    </row>
    <row r="829" spans="5:5" ht="15.75" customHeight="1">
      <c r="E829" s="4"/>
    </row>
    <row r="830" spans="5:5" ht="15.75" customHeight="1">
      <c r="E830" s="4"/>
    </row>
    <row r="831" spans="5:5" ht="15.75" customHeight="1">
      <c r="E831" s="4"/>
    </row>
    <row r="832" spans="5:5" ht="15.75" customHeight="1">
      <c r="E832" s="4"/>
    </row>
    <row r="833" spans="5:5" ht="15.75" customHeight="1">
      <c r="E833" s="4"/>
    </row>
    <row r="834" spans="5:5" ht="15.75" customHeight="1">
      <c r="E834" s="4"/>
    </row>
    <row r="835" spans="5:5" ht="15.75" customHeight="1">
      <c r="E835" s="4"/>
    </row>
    <row r="836" spans="5:5" ht="15.75" customHeight="1">
      <c r="E836" s="4"/>
    </row>
    <row r="837" spans="5:5" ht="15.75" customHeight="1">
      <c r="E837" s="4"/>
    </row>
    <row r="838" spans="5:5" ht="15.75" customHeight="1">
      <c r="E838" s="4"/>
    </row>
    <row r="839" spans="5:5" ht="15.75" customHeight="1">
      <c r="E839" s="4"/>
    </row>
    <row r="840" spans="5:5" ht="15.75" customHeight="1">
      <c r="E840" s="4"/>
    </row>
    <row r="841" spans="5:5" ht="15.75" customHeight="1">
      <c r="E841" s="4"/>
    </row>
    <row r="842" spans="5:5" ht="15.75" customHeight="1">
      <c r="E842" s="4"/>
    </row>
    <row r="843" spans="5:5" ht="15.75" customHeight="1">
      <c r="E843" s="4"/>
    </row>
    <row r="844" spans="5:5" ht="15.75" customHeight="1">
      <c r="E844" s="4"/>
    </row>
    <row r="845" spans="5:5" ht="15.75" customHeight="1">
      <c r="E845" s="4"/>
    </row>
    <row r="846" spans="5:5" ht="15.75" customHeight="1">
      <c r="E846" s="4"/>
    </row>
    <row r="847" spans="5:5" ht="15.75" customHeight="1">
      <c r="E847" s="4"/>
    </row>
    <row r="848" spans="5:5" ht="15.75" customHeight="1">
      <c r="E848" s="4"/>
    </row>
    <row r="849" spans="5:5" ht="15.75" customHeight="1">
      <c r="E849" s="4"/>
    </row>
    <row r="850" spans="5:5" ht="15.75" customHeight="1">
      <c r="E850" s="4"/>
    </row>
    <row r="851" spans="5:5" ht="15.75" customHeight="1">
      <c r="E851" s="4"/>
    </row>
    <row r="852" spans="5:5" ht="15.75" customHeight="1">
      <c r="E852" s="4"/>
    </row>
    <row r="853" spans="5:5" ht="15.75" customHeight="1">
      <c r="E853" s="4"/>
    </row>
    <row r="854" spans="5:5" ht="15.75" customHeight="1">
      <c r="E854" s="4"/>
    </row>
    <row r="855" spans="5:5" ht="15.75" customHeight="1">
      <c r="E855" s="4"/>
    </row>
    <row r="856" spans="5:5" ht="15.75" customHeight="1">
      <c r="E856" s="4"/>
    </row>
    <row r="857" spans="5:5" ht="15.75" customHeight="1">
      <c r="E857" s="4"/>
    </row>
    <row r="858" spans="5:5" ht="15.75" customHeight="1">
      <c r="E858" s="4"/>
    </row>
    <row r="859" spans="5:5" ht="15.75" customHeight="1">
      <c r="E859" s="4"/>
    </row>
    <row r="860" spans="5:5" ht="15.75" customHeight="1">
      <c r="E860" s="4"/>
    </row>
    <row r="861" spans="5:5" ht="15.75" customHeight="1">
      <c r="E861" s="4"/>
    </row>
    <row r="862" spans="5:5" ht="15.75" customHeight="1">
      <c r="E862" s="4"/>
    </row>
    <row r="863" spans="5:5" ht="15.75" customHeight="1">
      <c r="E863" s="4"/>
    </row>
    <row r="864" spans="5:5" ht="15.75" customHeight="1">
      <c r="E864" s="4"/>
    </row>
    <row r="865" spans="5:5" ht="15.75" customHeight="1">
      <c r="E865" s="4"/>
    </row>
    <row r="866" spans="5:5" ht="15.75" customHeight="1">
      <c r="E866" s="4"/>
    </row>
    <row r="867" spans="5:5" ht="15.75" customHeight="1">
      <c r="E867" s="4"/>
    </row>
    <row r="868" spans="5:5" ht="15.75" customHeight="1">
      <c r="E868" s="4"/>
    </row>
    <row r="869" spans="5:5" ht="15.75" customHeight="1">
      <c r="E869" s="4"/>
    </row>
    <row r="870" spans="5:5" ht="15.75" customHeight="1">
      <c r="E870" s="4"/>
    </row>
    <row r="871" spans="5:5" ht="15.75" customHeight="1">
      <c r="E871" s="4"/>
    </row>
    <row r="872" spans="5:5" ht="15.75" customHeight="1">
      <c r="E872" s="4"/>
    </row>
    <row r="873" spans="5:5" ht="15.75" customHeight="1">
      <c r="E873" s="4"/>
    </row>
    <row r="874" spans="5:5" ht="15.75" customHeight="1">
      <c r="E874" s="4"/>
    </row>
    <row r="875" spans="5:5" ht="15.75" customHeight="1">
      <c r="E875" s="4"/>
    </row>
    <row r="876" spans="5:5" ht="15.75" customHeight="1">
      <c r="E876" s="4"/>
    </row>
    <row r="877" spans="5:5" ht="15.75" customHeight="1">
      <c r="E877" s="4"/>
    </row>
    <row r="878" spans="5:5" ht="15" customHeight="1">
      <c r="E878" s="4"/>
    </row>
    <row r="879" spans="5:5" ht="15" customHeight="1">
      <c r="E879" s="4"/>
    </row>
    <row r="880" spans="5:5" ht="15" customHeight="1">
      <c r="E880" s="4"/>
    </row>
    <row r="881" spans="5:5" ht="15" customHeight="1">
      <c r="E881" s="4"/>
    </row>
    <row r="882" spans="5:5" ht="15" customHeight="1">
      <c r="E882" s="4"/>
    </row>
    <row r="883" spans="5:5" ht="15" customHeight="1">
      <c r="E883" s="4"/>
    </row>
    <row r="884" spans="5:5" ht="15" customHeight="1">
      <c r="E884" s="4"/>
    </row>
    <row r="885" spans="5:5" ht="15" customHeight="1">
      <c r="E885" s="4"/>
    </row>
    <row r="886" spans="5:5" ht="15" customHeight="1">
      <c r="E886" s="4"/>
    </row>
    <row r="887" spans="5:5" ht="15" customHeight="1">
      <c r="E887" s="4"/>
    </row>
    <row r="888" spans="5:5" ht="15" customHeight="1">
      <c r="E888" s="4"/>
    </row>
    <row r="889" spans="5:5" ht="15" customHeight="1">
      <c r="E889" s="4"/>
    </row>
    <row r="890" spans="5:5" ht="15" customHeight="1">
      <c r="E890" s="4"/>
    </row>
    <row r="891" spans="5:5" ht="15" customHeight="1">
      <c r="E891" s="4"/>
    </row>
    <row r="892" spans="5:5" ht="15" customHeight="1">
      <c r="E892" s="4"/>
    </row>
    <row r="893" spans="5:5" ht="15" customHeight="1">
      <c r="E893" s="4"/>
    </row>
    <row r="894" spans="5:5" ht="15" customHeight="1">
      <c r="E894" s="4"/>
    </row>
    <row r="895" spans="5:5" ht="15" customHeight="1">
      <c r="E895" s="4"/>
    </row>
    <row r="896" spans="5:5" ht="15" customHeight="1">
      <c r="E896" s="4"/>
    </row>
    <row r="897" spans="5:5" ht="15" customHeight="1">
      <c r="E897" s="4"/>
    </row>
    <row r="898" spans="5:5" ht="15" customHeight="1">
      <c r="E898" s="4"/>
    </row>
    <row r="899" spans="5:5" ht="15" customHeight="1">
      <c r="E899" s="4"/>
    </row>
    <row r="900" spans="5:5" ht="15" customHeight="1">
      <c r="E900" s="4"/>
    </row>
    <row r="901" spans="5:5" ht="15" customHeight="1">
      <c r="E901" s="4"/>
    </row>
    <row r="902" spans="5:5" ht="15" customHeight="1">
      <c r="E902" s="4"/>
    </row>
    <row r="903" spans="5:5" ht="15" customHeight="1">
      <c r="E903" s="4"/>
    </row>
    <row r="904" spans="5:5" ht="15" customHeight="1">
      <c r="E904" s="4"/>
    </row>
    <row r="905" spans="5:5" ht="15" customHeight="1">
      <c r="E905" s="4"/>
    </row>
    <row r="906" spans="5:5" ht="15" customHeight="1">
      <c r="E906" s="4"/>
    </row>
    <row r="907" spans="5:5" ht="15" customHeight="1">
      <c r="E907" s="4"/>
    </row>
    <row r="908" spans="5:5" ht="15" customHeight="1">
      <c r="E908" s="4"/>
    </row>
    <row r="909" spans="5:5" ht="15" customHeight="1">
      <c r="E909" s="4"/>
    </row>
    <row r="910" spans="5:5" ht="15" customHeight="1">
      <c r="E910" s="4"/>
    </row>
    <row r="911" spans="5:5" ht="15" customHeight="1">
      <c r="E911" s="4"/>
    </row>
    <row r="912" spans="5:5" ht="15" customHeight="1">
      <c r="E912" s="4"/>
    </row>
    <row r="913" spans="5:5" ht="15" customHeight="1">
      <c r="E913" s="4"/>
    </row>
    <row r="914" spans="5:5" ht="15" customHeight="1">
      <c r="E914" s="4"/>
    </row>
    <row r="915" spans="5:5" ht="15" customHeight="1">
      <c r="E915" s="4"/>
    </row>
    <row r="916" spans="5:5" ht="15" customHeight="1">
      <c r="E916" s="4"/>
    </row>
    <row r="917" spans="5:5" ht="15" customHeight="1">
      <c r="E917" s="4"/>
    </row>
    <row r="918" spans="5:5" ht="15" customHeight="1">
      <c r="E918" s="4"/>
    </row>
    <row r="919" spans="5:5" ht="15" customHeight="1">
      <c r="E919" s="4"/>
    </row>
    <row r="920" spans="5:5" ht="15" customHeight="1">
      <c r="E920" s="4"/>
    </row>
    <row r="921" spans="5:5" ht="15" customHeight="1">
      <c r="E921" s="4"/>
    </row>
    <row r="922" spans="5:5" ht="15" customHeight="1">
      <c r="E922" s="4"/>
    </row>
    <row r="923" spans="5:5" ht="15" customHeight="1">
      <c r="E923" s="4"/>
    </row>
    <row r="924" spans="5:5" ht="15" customHeight="1">
      <c r="E924" s="4"/>
    </row>
    <row r="925" spans="5:5" ht="15" customHeight="1">
      <c r="E925" s="4"/>
    </row>
    <row r="926" spans="5:5" ht="15" customHeight="1">
      <c r="E926" s="4"/>
    </row>
    <row r="927" spans="5:5" ht="15" customHeight="1">
      <c r="E927" s="4"/>
    </row>
    <row r="928" spans="5:5" ht="15" customHeight="1">
      <c r="E928" s="4"/>
    </row>
    <row r="929" spans="5:5" ht="15" customHeight="1">
      <c r="E929" s="4"/>
    </row>
    <row r="930" spans="5:5" ht="15" customHeight="1">
      <c r="E930" s="4"/>
    </row>
    <row r="931" spans="5:5" ht="15" customHeight="1">
      <c r="E931" s="4"/>
    </row>
    <row r="932" spans="5:5" ht="15" customHeight="1">
      <c r="E932" s="4"/>
    </row>
    <row r="933" spans="5:5" ht="15" customHeight="1">
      <c r="E933" s="4"/>
    </row>
    <row r="934" spans="5:5" ht="15" customHeight="1">
      <c r="E934" s="4"/>
    </row>
    <row r="935" spans="5:5" ht="15" customHeight="1">
      <c r="E935" s="4"/>
    </row>
    <row r="936" spans="5:5" ht="15" customHeight="1">
      <c r="E936" s="4"/>
    </row>
    <row r="937" spans="5:5" ht="15" customHeight="1">
      <c r="E937" s="4"/>
    </row>
    <row r="938" spans="5:5" ht="15" customHeight="1">
      <c r="E938" s="4"/>
    </row>
    <row r="939" spans="5:5" ht="15" customHeight="1">
      <c r="E939" s="4"/>
    </row>
    <row r="940" spans="5:5" ht="15" customHeight="1">
      <c r="E940" s="4"/>
    </row>
    <row r="941" spans="5:5" ht="15" customHeight="1">
      <c r="E941" s="4"/>
    </row>
    <row r="942" spans="5:5" ht="15" customHeight="1">
      <c r="E942" s="4"/>
    </row>
    <row r="943" spans="5:5" ht="15" customHeight="1">
      <c r="E943" s="4"/>
    </row>
    <row r="944" spans="5:5" ht="15" customHeight="1">
      <c r="E944" s="4"/>
    </row>
    <row r="945" spans="5:5" ht="15" customHeight="1">
      <c r="E945" s="4"/>
    </row>
    <row r="946" spans="5:5" ht="15" customHeight="1">
      <c r="E946" s="4"/>
    </row>
    <row r="947" spans="5:5" ht="15" customHeight="1">
      <c r="E947" s="4"/>
    </row>
    <row r="948" spans="5:5" ht="15" customHeight="1">
      <c r="E948" s="4"/>
    </row>
    <row r="949" spans="5:5" ht="15" customHeight="1">
      <c r="E949" s="4"/>
    </row>
    <row r="950" spans="5:5" ht="15" customHeight="1">
      <c r="E950" s="4"/>
    </row>
    <row r="951" spans="5:5" ht="15" customHeight="1">
      <c r="E951" s="4"/>
    </row>
    <row r="952" spans="5:5" ht="15" customHeight="1">
      <c r="E952" s="4"/>
    </row>
    <row r="953" spans="5:5" ht="15" customHeight="1">
      <c r="E953" s="4"/>
    </row>
    <row r="954" spans="5:5" ht="15" customHeight="1">
      <c r="E954" s="4"/>
    </row>
    <row r="955" spans="5:5" ht="15" customHeight="1">
      <c r="E955" s="4"/>
    </row>
    <row r="956" spans="5:5" ht="15" customHeight="1">
      <c r="E956" s="4"/>
    </row>
    <row r="957" spans="5:5" ht="15" customHeight="1">
      <c r="E957" s="4"/>
    </row>
    <row r="958" spans="5:5" ht="15" customHeight="1">
      <c r="E958" s="4"/>
    </row>
    <row r="959" spans="5:5" ht="15" customHeight="1">
      <c r="E959" s="4"/>
    </row>
    <row r="960" spans="5:5" ht="15" customHeight="1">
      <c r="E960" s="4"/>
    </row>
    <row r="961" spans="5:5" ht="15" customHeight="1">
      <c r="E961" s="4"/>
    </row>
    <row r="962" spans="5:5" ht="15" customHeight="1">
      <c r="E962" s="4"/>
    </row>
    <row r="963" spans="5:5" ht="15" customHeight="1">
      <c r="E963" s="4"/>
    </row>
    <row r="964" spans="5:5" ht="15" customHeight="1">
      <c r="E964" s="4"/>
    </row>
    <row r="965" spans="5:5" ht="15" customHeight="1">
      <c r="E965" s="4"/>
    </row>
    <row r="966" spans="5:5" ht="15" customHeight="1">
      <c r="E966" s="4"/>
    </row>
    <row r="967" spans="5:5" ht="15" customHeight="1">
      <c r="E967" s="4"/>
    </row>
    <row r="968" spans="5:5" ht="15" customHeight="1">
      <c r="E968" s="4"/>
    </row>
    <row r="969" spans="5:5" ht="15" customHeight="1">
      <c r="E969" s="4"/>
    </row>
  </sheetData>
  <sheetProtection algorithmName="SHA-512" hashValue="yb2lg4oZe9DeeLbPmI6DtdOnLs/6O1yU104bNl49uuUSUxmPjtGpFDpO12zlNpQoGvTdWZokV+EKjS5l5pb8Rw==" saltValue="e39kEFERybqjvdj356LW8w==" spinCount="100000" sheet="1" formatCells="0" formatColumns="0" formatRows="0" insertColumns="0" insertRows="0" insertHyperlinks="0" deleteColumns="0" deleteRows="0" pivotTables="0"/>
  <mergeCells count="7">
    <mergeCell ref="C1:D4"/>
    <mergeCell ref="B26:B108"/>
    <mergeCell ref="B15:B19"/>
    <mergeCell ref="B20:B25"/>
    <mergeCell ref="C5:I5"/>
    <mergeCell ref="B11:B14"/>
    <mergeCell ref="B7:B10"/>
  </mergeCells>
  <phoneticPr fontId="14" type="noConversion"/>
  <pageMargins left="0.7" right="0.7" top="0.75" bottom="0.75" header="0.3" footer="0.3"/>
  <pageSetup paperSize="9" scale="45" orientation="portrait" r:id="rId1"/>
  <rowBreaks count="1" manualBreakCount="1">
    <brk id="25" max="16383"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K92"/>
  <sheetViews>
    <sheetView topLeftCell="A5" workbookViewId="0">
      <selection activeCell="AT12" sqref="AT12"/>
    </sheetView>
  </sheetViews>
  <sheetFormatPr baseColWidth="10" defaultColWidth="11.42578125" defaultRowHeight="12.75" customHeight="1"/>
  <cols>
    <col min="1" max="1" width="2" style="75" customWidth="1"/>
    <col min="2" max="5" width="3.140625" style="75" customWidth="1"/>
    <col min="6" max="8" width="3.140625" style="80" customWidth="1"/>
    <col min="9" max="9" width="1.42578125" style="80" customWidth="1"/>
    <col min="10" max="10" width="3.140625" style="80" customWidth="1"/>
    <col min="11" max="23" width="3.140625" style="75" customWidth="1"/>
    <col min="24" max="24" width="18.5703125" style="75" customWidth="1"/>
    <col min="25" max="37" width="3.140625" style="75" customWidth="1"/>
    <col min="38" max="38" width="2" style="75" customWidth="1"/>
    <col min="39" max="53" width="3.140625" style="75" customWidth="1"/>
    <col min="54" max="16384" width="11.42578125" style="75"/>
  </cols>
  <sheetData>
    <row r="1" spans="2:37" ht="14.25">
      <c r="F1" s="75"/>
      <c r="G1" s="75"/>
      <c r="H1" s="75"/>
      <c r="I1" s="75"/>
      <c r="J1" s="75"/>
    </row>
    <row r="2" spans="2:37" ht="14.25" customHeight="1">
      <c r="B2" s="253"/>
      <c r="C2" s="254"/>
      <c r="D2" s="254"/>
      <c r="E2" s="254"/>
      <c r="F2" s="254"/>
      <c r="G2" s="254"/>
      <c r="H2" s="254"/>
      <c r="I2" s="255"/>
      <c r="J2" s="262" t="s">
        <v>245</v>
      </c>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4"/>
    </row>
    <row r="3" spans="2:37" ht="14.25" customHeight="1">
      <c r="B3" s="256"/>
      <c r="C3" s="257"/>
      <c r="D3" s="257"/>
      <c r="E3" s="257"/>
      <c r="F3" s="257"/>
      <c r="G3" s="257"/>
      <c r="H3" s="257"/>
      <c r="I3" s="258"/>
      <c r="J3" s="265"/>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7"/>
    </row>
    <row r="4" spans="2:37" ht="14.25" customHeight="1">
      <c r="B4" s="256"/>
      <c r="C4" s="257"/>
      <c r="D4" s="257"/>
      <c r="E4" s="257"/>
      <c r="F4" s="257"/>
      <c r="G4" s="257"/>
      <c r="H4" s="257"/>
      <c r="I4" s="258"/>
      <c r="J4" s="268"/>
      <c r="K4" s="269"/>
      <c r="L4" s="269"/>
      <c r="M4" s="269"/>
      <c r="N4" s="269"/>
      <c r="O4" s="269"/>
      <c r="P4" s="269"/>
      <c r="Q4" s="269"/>
      <c r="R4" s="269"/>
      <c r="S4" s="269"/>
      <c r="T4" s="269"/>
      <c r="U4" s="269"/>
      <c r="V4" s="269"/>
      <c r="W4" s="269"/>
      <c r="X4" s="269"/>
      <c r="Y4" s="269"/>
      <c r="Z4" s="269"/>
      <c r="AA4" s="269"/>
      <c r="AB4" s="269"/>
      <c r="AC4" s="269"/>
      <c r="AD4" s="269"/>
      <c r="AE4" s="269"/>
      <c r="AF4" s="269"/>
      <c r="AG4" s="269"/>
      <c r="AH4" s="269"/>
      <c r="AI4" s="269"/>
      <c r="AJ4" s="270"/>
    </row>
    <row r="5" spans="2:37" ht="14.25" customHeight="1">
      <c r="B5" s="256"/>
      <c r="C5" s="257"/>
      <c r="D5" s="257"/>
      <c r="E5" s="257"/>
      <c r="F5" s="257"/>
      <c r="G5" s="257"/>
      <c r="H5" s="257"/>
      <c r="I5" s="258"/>
      <c r="J5" s="265" t="s">
        <v>257</v>
      </c>
      <c r="K5" s="266"/>
      <c r="L5" s="266"/>
      <c r="M5" s="266"/>
      <c r="N5" s="266"/>
      <c r="O5" s="266"/>
      <c r="P5" s="266"/>
      <c r="Q5" s="266"/>
      <c r="R5" s="266"/>
      <c r="S5" s="266"/>
      <c r="T5" s="266"/>
      <c r="U5" s="266"/>
      <c r="V5" s="266"/>
      <c r="W5" s="266"/>
      <c r="X5" s="266"/>
      <c r="Y5" s="266"/>
      <c r="Z5" s="266"/>
      <c r="AA5" s="266"/>
      <c r="AB5" s="266"/>
      <c r="AC5" s="266"/>
      <c r="AD5" s="266"/>
      <c r="AE5" s="266"/>
      <c r="AF5" s="266"/>
      <c r="AG5" s="266"/>
      <c r="AH5" s="266"/>
      <c r="AI5" s="266"/>
      <c r="AJ5" s="267"/>
    </row>
    <row r="6" spans="2:37" ht="14.25" customHeight="1">
      <c r="B6" s="256"/>
      <c r="C6" s="257"/>
      <c r="D6" s="257"/>
      <c r="E6" s="257"/>
      <c r="F6" s="257"/>
      <c r="G6" s="257"/>
      <c r="H6" s="257"/>
      <c r="I6" s="258"/>
      <c r="J6" s="265"/>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7"/>
    </row>
    <row r="7" spans="2:37" ht="14.25" customHeight="1">
      <c r="B7" s="259"/>
      <c r="C7" s="260"/>
      <c r="D7" s="260"/>
      <c r="E7" s="260"/>
      <c r="F7" s="260"/>
      <c r="G7" s="260"/>
      <c r="H7" s="260"/>
      <c r="I7" s="261"/>
      <c r="J7" s="268"/>
      <c r="K7" s="269"/>
      <c r="L7" s="269"/>
      <c r="M7" s="269"/>
      <c r="N7" s="269"/>
      <c r="O7" s="269"/>
      <c r="P7" s="269"/>
      <c r="Q7" s="269"/>
      <c r="R7" s="269"/>
      <c r="S7" s="269"/>
      <c r="T7" s="269"/>
      <c r="U7" s="269"/>
      <c r="V7" s="269"/>
      <c r="W7" s="269"/>
      <c r="X7" s="269"/>
      <c r="Y7" s="269"/>
      <c r="Z7" s="269"/>
      <c r="AA7" s="269"/>
      <c r="AB7" s="269"/>
      <c r="AC7" s="269"/>
      <c r="AD7" s="269"/>
      <c r="AE7" s="269"/>
      <c r="AF7" s="269"/>
      <c r="AG7" s="269"/>
      <c r="AH7" s="269"/>
      <c r="AI7" s="269"/>
      <c r="AJ7" s="270"/>
    </row>
    <row r="8" spans="2:37" ht="14.25">
      <c r="F8" s="75"/>
      <c r="G8" s="75"/>
      <c r="H8" s="75"/>
      <c r="I8" s="75"/>
      <c r="J8" s="75"/>
    </row>
    <row r="9" spans="2:37" ht="15" customHeight="1">
      <c r="B9" s="251" t="s">
        <v>246</v>
      </c>
      <c r="C9" s="251"/>
      <c r="D9" s="251"/>
      <c r="E9" s="251"/>
      <c r="F9" s="251"/>
      <c r="G9" s="251"/>
      <c r="H9" s="251"/>
      <c r="I9" s="76" t="s">
        <v>247</v>
      </c>
      <c r="J9" s="252" t="s">
        <v>258</v>
      </c>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row>
    <row r="10" spans="2:37" ht="15">
      <c r="B10" s="251" t="s">
        <v>248</v>
      </c>
      <c r="C10" s="251"/>
      <c r="D10" s="251"/>
      <c r="E10" s="251"/>
      <c r="F10" s="251"/>
      <c r="G10" s="251"/>
      <c r="H10" s="251"/>
      <c r="I10" s="76" t="s">
        <v>247</v>
      </c>
      <c r="J10" s="252" t="s">
        <v>259</v>
      </c>
      <c r="K10" s="252"/>
      <c r="L10" s="252"/>
      <c r="M10" s="252"/>
      <c r="N10" s="252"/>
      <c r="O10" s="252"/>
      <c r="P10" s="252"/>
      <c r="Q10" s="252"/>
      <c r="R10" s="252"/>
      <c r="S10" s="252"/>
      <c r="T10" s="252"/>
      <c r="U10" s="252"/>
      <c r="V10" s="252"/>
      <c r="W10" s="252"/>
      <c r="X10" s="252"/>
      <c r="Y10" s="252"/>
      <c r="Z10" s="252"/>
      <c r="AA10" s="252"/>
      <c r="AB10" s="252"/>
      <c r="AC10" s="252"/>
      <c r="AD10" s="252"/>
      <c r="AE10" s="252"/>
      <c r="AF10" s="252"/>
    </row>
    <row r="11" spans="2:37" ht="14.25">
      <c r="F11" s="75"/>
      <c r="G11" s="75"/>
      <c r="H11" s="75"/>
      <c r="I11" s="75"/>
      <c r="J11" s="75"/>
    </row>
    <row r="12" spans="2:37" ht="51" customHeight="1">
      <c r="B12" s="282" t="s">
        <v>249</v>
      </c>
      <c r="C12" s="283"/>
      <c r="D12" s="284"/>
      <c r="E12" s="285" t="s">
        <v>250</v>
      </c>
      <c r="F12" s="285"/>
      <c r="G12" s="285"/>
      <c r="H12" s="285"/>
      <c r="I12" s="285"/>
      <c r="J12" s="286" t="s">
        <v>251</v>
      </c>
      <c r="K12" s="287"/>
      <c r="L12" s="287"/>
      <c r="M12" s="287"/>
      <c r="N12" s="287"/>
      <c r="O12" s="287"/>
      <c r="P12" s="287"/>
      <c r="Q12" s="287"/>
      <c r="R12" s="287"/>
      <c r="S12" s="287"/>
      <c r="T12" s="287"/>
      <c r="U12" s="287"/>
      <c r="V12" s="287"/>
      <c r="W12" s="288"/>
      <c r="X12" s="77" t="s">
        <v>252</v>
      </c>
      <c r="Y12" s="282" t="s">
        <v>253</v>
      </c>
      <c r="Z12" s="283"/>
      <c r="AA12" s="283"/>
      <c r="AB12" s="283"/>
      <c r="AC12" s="283"/>
      <c r="AD12" s="283"/>
      <c r="AE12" s="283"/>
      <c r="AF12" s="283"/>
      <c r="AG12" s="284"/>
      <c r="AH12" s="289" t="s">
        <v>254</v>
      </c>
      <c r="AI12" s="289"/>
      <c r="AJ12" s="289"/>
      <c r="AK12" s="289"/>
    </row>
    <row r="13" spans="2:37" ht="221.25" customHeight="1">
      <c r="B13" s="271" t="s">
        <v>260</v>
      </c>
      <c r="C13" s="272"/>
      <c r="D13" s="273"/>
      <c r="E13" s="274">
        <v>45552</v>
      </c>
      <c r="F13" s="274"/>
      <c r="G13" s="274"/>
      <c r="H13" s="274"/>
      <c r="I13" s="274"/>
      <c r="J13" s="275" t="s">
        <v>261</v>
      </c>
      <c r="K13" s="276"/>
      <c r="L13" s="276"/>
      <c r="M13" s="276"/>
      <c r="N13" s="276"/>
      <c r="O13" s="276"/>
      <c r="P13" s="276"/>
      <c r="Q13" s="276"/>
      <c r="R13" s="276"/>
      <c r="S13" s="276"/>
      <c r="T13" s="276"/>
      <c r="U13" s="276"/>
      <c r="V13" s="276"/>
      <c r="W13" s="277"/>
      <c r="X13" s="79" t="s">
        <v>256</v>
      </c>
      <c r="Y13" s="278" t="s">
        <v>262</v>
      </c>
      <c r="Z13" s="279"/>
      <c r="AA13" s="279"/>
      <c r="AB13" s="279"/>
      <c r="AC13" s="279"/>
      <c r="AD13" s="279"/>
      <c r="AE13" s="279"/>
      <c r="AF13" s="279"/>
      <c r="AG13" s="280"/>
      <c r="AH13" s="281" t="s">
        <v>255</v>
      </c>
      <c r="AI13" s="281"/>
      <c r="AJ13" s="281"/>
      <c r="AK13" s="281"/>
    </row>
    <row r="14" spans="2:37" ht="114" customHeight="1">
      <c r="B14" s="271"/>
      <c r="C14" s="294"/>
      <c r="D14" s="295"/>
      <c r="E14" s="296"/>
      <c r="F14" s="297"/>
      <c r="G14" s="297"/>
      <c r="H14" s="297"/>
      <c r="I14" s="298"/>
      <c r="J14" s="299"/>
      <c r="K14" s="300"/>
      <c r="L14" s="300"/>
      <c r="M14" s="300"/>
      <c r="N14" s="300"/>
      <c r="O14" s="300"/>
      <c r="P14" s="300"/>
      <c r="Q14" s="300"/>
      <c r="R14" s="300"/>
      <c r="S14" s="300"/>
      <c r="T14" s="300"/>
      <c r="U14" s="300"/>
      <c r="V14" s="300"/>
      <c r="W14" s="301"/>
      <c r="X14" s="79"/>
      <c r="Y14" s="278"/>
      <c r="Z14" s="279"/>
      <c r="AA14" s="279"/>
      <c r="AB14" s="279"/>
      <c r="AC14" s="279"/>
      <c r="AD14" s="279"/>
      <c r="AE14" s="279"/>
      <c r="AF14" s="279"/>
      <c r="AG14" s="280"/>
      <c r="AH14" s="278"/>
      <c r="AI14" s="279"/>
      <c r="AJ14" s="279"/>
      <c r="AK14" s="280"/>
    </row>
    <row r="15" spans="2:37" ht="174" customHeight="1">
      <c r="B15" s="290"/>
      <c r="C15" s="272"/>
      <c r="D15" s="273"/>
      <c r="E15" s="274"/>
      <c r="F15" s="274"/>
      <c r="G15" s="274"/>
      <c r="H15" s="274"/>
      <c r="I15" s="274"/>
      <c r="J15" s="291"/>
      <c r="K15" s="292"/>
      <c r="L15" s="292"/>
      <c r="M15" s="292"/>
      <c r="N15" s="292"/>
      <c r="O15" s="292"/>
      <c r="P15" s="292"/>
      <c r="Q15" s="292"/>
      <c r="R15" s="292"/>
      <c r="S15" s="292"/>
      <c r="T15" s="292"/>
      <c r="U15" s="292"/>
      <c r="V15" s="292"/>
      <c r="W15" s="293"/>
      <c r="X15" s="78"/>
      <c r="Y15" s="278"/>
      <c r="Z15" s="279"/>
      <c r="AA15" s="279"/>
      <c r="AB15" s="279"/>
      <c r="AC15" s="279"/>
      <c r="AD15" s="279"/>
      <c r="AE15" s="279"/>
      <c r="AF15" s="279"/>
      <c r="AG15" s="280"/>
      <c r="AH15" s="281"/>
      <c r="AI15" s="281"/>
      <c r="AJ15" s="281"/>
      <c r="AK15" s="281"/>
    </row>
    <row r="16" spans="2:37" ht="87.75" customHeight="1">
      <c r="B16" s="290"/>
      <c r="C16" s="272"/>
      <c r="D16" s="273"/>
      <c r="E16" s="274"/>
      <c r="F16" s="274"/>
      <c r="G16" s="274"/>
      <c r="H16" s="274"/>
      <c r="I16" s="274"/>
      <c r="J16" s="306"/>
      <c r="K16" s="307"/>
      <c r="L16" s="307"/>
      <c r="M16" s="307"/>
      <c r="N16" s="307"/>
      <c r="O16" s="307"/>
      <c r="P16" s="307"/>
      <c r="Q16" s="307"/>
      <c r="R16" s="307"/>
      <c r="S16" s="307"/>
      <c r="T16" s="307"/>
      <c r="U16" s="307"/>
      <c r="V16" s="307"/>
      <c r="W16" s="308"/>
      <c r="X16" s="78"/>
      <c r="Y16" s="278"/>
      <c r="Z16" s="279"/>
      <c r="AA16" s="279"/>
      <c r="AB16" s="279"/>
      <c r="AC16" s="279"/>
      <c r="AD16" s="279"/>
      <c r="AE16" s="279"/>
      <c r="AF16" s="279"/>
      <c r="AG16" s="280"/>
      <c r="AH16" s="281"/>
      <c r="AI16" s="281"/>
      <c r="AJ16" s="281"/>
      <c r="AK16" s="281"/>
    </row>
    <row r="17" spans="2:37" ht="162.75" customHeight="1">
      <c r="B17" s="290"/>
      <c r="C17" s="272"/>
      <c r="D17" s="273"/>
      <c r="E17" s="274"/>
      <c r="F17" s="274"/>
      <c r="G17" s="274"/>
      <c r="H17" s="274"/>
      <c r="I17" s="274"/>
      <c r="J17" s="302"/>
      <c r="K17" s="303"/>
      <c r="L17" s="303"/>
      <c r="M17" s="303"/>
      <c r="N17" s="303"/>
      <c r="O17" s="303"/>
      <c r="P17" s="303"/>
      <c r="Q17" s="303"/>
      <c r="R17" s="303"/>
      <c r="S17" s="303"/>
      <c r="T17" s="303"/>
      <c r="U17" s="303"/>
      <c r="V17" s="303"/>
      <c r="W17" s="304"/>
      <c r="X17" s="78"/>
      <c r="Y17" s="278"/>
      <c r="Z17" s="279"/>
      <c r="AA17" s="279"/>
      <c r="AB17" s="279"/>
      <c r="AC17" s="279"/>
      <c r="AD17" s="279"/>
      <c r="AE17" s="279"/>
      <c r="AF17" s="279"/>
      <c r="AG17" s="280"/>
      <c r="AH17" s="305"/>
      <c r="AI17" s="305"/>
      <c r="AJ17" s="305"/>
      <c r="AK17" s="305"/>
    </row>
    <row r="18" spans="2:37" ht="45" customHeight="1">
      <c r="B18" s="290"/>
      <c r="C18" s="272"/>
      <c r="D18" s="273"/>
      <c r="E18" s="274"/>
      <c r="F18" s="274"/>
      <c r="G18" s="274"/>
      <c r="H18" s="274"/>
      <c r="I18" s="274"/>
      <c r="J18" s="290"/>
      <c r="K18" s="272"/>
      <c r="L18" s="272"/>
      <c r="M18" s="272"/>
      <c r="N18" s="272"/>
      <c r="O18" s="272"/>
      <c r="P18" s="272"/>
      <c r="Q18" s="272"/>
      <c r="R18" s="272"/>
      <c r="S18" s="272"/>
      <c r="T18" s="272"/>
      <c r="U18" s="272"/>
      <c r="V18" s="272"/>
      <c r="W18" s="273"/>
      <c r="X18" s="78"/>
      <c r="Y18" s="278"/>
      <c r="Z18" s="279"/>
      <c r="AA18" s="279"/>
      <c r="AB18" s="279"/>
      <c r="AC18" s="279"/>
      <c r="AD18" s="279"/>
      <c r="AE18" s="279"/>
      <c r="AF18" s="279"/>
      <c r="AG18" s="280"/>
      <c r="AH18" s="305"/>
      <c r="AI18" s="305"/>
      <c r="AJ18" s="305"/>
      <c r="AK18" s="305"/>
    </row>
    <row r="19" spans="2:37" ht="45" customHeight="1">
      <c r="B19" s="290"/>
      <c r="C19" s="272"/>
      <c r="D19" s="273"/>
      <c r="E19" s="274"/>
      <c r="F19" s="274"/>
      <c r="G19" s="274"/>
      <c r="H19" s="274"/>
      <c r="I19" s="274"/>
      <c r="J19" s="290"/>
      <c r="K19" s="272"/>
      <c r="L19" s="272"/>
      <c r="M19" s="272"/>
      <c r="N19" s="272"/>
      <c r="O19" s="272"/>
      <c r="P19" s="272"/>
      <c r="Q19" s="272"/>
      <c r="R19" s="272"/>
      <c r="S19" s="272"/>
      <c r="T19" s="272"/>
      <c r="U19" s="272"/>
      <c r="V19" s="272"/>
      <c r="W19" s="273"/>
      <c r="X19" s="78"/>
      <c r="Y19" s="278"/>
      <c r="Z19" s="279"/>
      <c r="AA19" s="279"/>
      <c r="AB19" s="279"/>
      <c r="AC19" s="279"/>
      <c r="AD19" s="279"/>
      <c r="AE19" s="279"/>
      <c r="AF19" s="279"/>
      <c r="AG19" s="280"/>
      <c r="AH19" s="305"/>
      <c r="AI19" s="305"/>
      <c r="AJ19" s="305"/>
      <c r="AK19" s="305"/>
    </row>
    <row r="20" spans="2:37" ht="45" customHeight="1">
      <c r="B20" s="290"/>
      <c r="C20" s="272"/>
      <c r="D20" s="273"/>
      <c r="E20" s="274"/>
      <c r="F20" s="274"/>
      <c r="G20" s="274"/>
      <c r="H20" s="274"/>
      <c r="I20" s="274"/>
      <c r="J20" s="290"/>
      <c r="K20" s="272"/>
      <c r="L20" s="272"/>
      <c r="M20" s="272"/>
      <c r="N20" s="272"/>
      <c r="O20" s="272"/>
      <c r="P20" s="272"/>
      <c r="Q20" s="272"/>
      <c r="R20" s="272"/>
      <c r="S20" s="272"/>
      <c r="T20" s="272"/>
      <c r="U20" s="272"/>
      <c r="V20" s="272"/>
      <c r="W20" s="273"/>
      <c r="X20" s="78"/>
      <c r="Y20" s="278"/>
      <c r="Z20" s="279"/>
      <c r="AA20" s="279"/>
      <c r="AB20" s="279"/>
      <c r="AC20" s="279"/>
      <c r="AD20" s="279"/>
      <c r="AE20" s="279"/>
      <c r="AF20" s="279"/>
      <c r="AG20" s="280"/>
      <c r="AH20" s="305"/>
      <c r="AI20" s="305"/>
      <c r="AJ20" s="305"/>
      <c r="AK20" s="305"/>
    </row>
    <row r="21" spans="2:37" ht="45" customHeight="1">
      <c r="B21" s="290"/>
      <c r="C21" s="272"/>
      <c r="D21" s="273"/>
      <c r="E21" s="274"/>
      <c r="F21" s="274"/>
      <c r="G21" s="274"/>
      <c r="H21" s="274"/>
      <c r="I21" s="274"/>
      <c r="J21" s="290"/>
      <c r="K21" s="272"/>
      <c r="L21" s="272"/>
      <c r="M21" s="272"/>
      <c r="N21" s="272"/>
      <c r="O21" s="272"/>
      <c r="P21" s="272"/>
      <c r="Q21" s="272"/>
      <c r="R21" s="272"/>
      <c r="S21" s="272"/>
      <c r="T21" s="272"/>
      <c r="U21" s="272"/>
      <c r="V21" s="272"/>
      <c r="W21" s="273"/>
      <c r="X21" s="78"/>
      <c r="Y21" s="278"/>
      <c r="Z21" s="279"/>
      <c r="AA21" s="279"/>
      <c r="AB21" s="279"/>
      <c r="AC21" s="279"/>
      <c r="AD21" s="279"/>
      <c r="AE21" s="279"/>
      <c r="AF21" s="279"/>
      <c r="AG21" s="280"/>
      <c r="AH21" s="305"/>
      <c r="AI21" s="305"/>
      <c r="AJ21" s="305"/>
      <c r="AK21" s="305"/>
    </row>
    <row r="22" spans="2:37" ht="45" customHeight="1">
      <c r="B22" s="290"/>
      <c r="C22" s="272"/>
      <c r="D22" s="273"/>
      <c r="E22" s="274"/>
      <c r="F22" s="274"/>
      <c r="G22" s="274"/>
      <c r="H22" s="274"/>
      <c r="I22" s="274"/>
      <c r="J22" s="290"/>
      <c r="K22" s="272"/>
      <c r="L22" s="272"/>
      <c r="M22" s="272"/>
      <c r="N22" s="272"/>
      <c r="O22" s="272"/>
      <c r="P22" s="272"/>
      <c r="Q22" s="272"/>
      <c r="R22" s="272"/>
      <c r="S22" s="272"/>
      <c r="T22" s="272"/>
      <c r="U22" s="272"/>
      <c r="V22" s="272"/>
      <c r="W22" s="273"/>
      <c r="X22" s="78"/>
      <c r="Y22" s="278"/>
      <c r="Z22" s="279"/>
      <c r="AA22" s="279"/>
      <c r="AB22" s="279"/>
      <c r="AC22" s="279"/>
      <c r="AD22" s="279"/>
      <c r="AE22" s="279"/>
      <c r="AF22" s="279"/>
      <c r="AG22" s="280"/>
      <c r="AH22" s="305"/>
      <c r="AI22" s="305"/>
      <c r="AJ22" s="305"/>
      <c r="AK22" s="305"/>
    </row>
    <row r="23" spans="2:37" ht="45" customHeight="1">
      <c r="B23" s="290"/>
      <c r="C23" s="272"/>
      <c r="D23" s="273"/>
      <c r="E23" s="274"/>
      <c r="F23" s="274"/>
      <c r="G23" s="274"/>
      <c r="H23" s="274"/>
      <c r="I23" s="274"/>
      <c r="J23" s="290"/>
      <c r="K23" s="272"/>
      <c r="L23" s="272"/>
      <c r="M23" s="272"/>
      <c r="N23" s="272"/>
      <c r="O23" s="272"/>
      <c r="P23" s="272"/>
      <c r="Q23" s="272"/>
      <c r="R23" s="272"/>
      <c r="S23" s="272"/>
      <c r="T23" s="272"/>
      <c r="U23" s="272"/>
      <c r="V23" s="272"/>
      <c r="W23" s="273"/>
      <c r="X23" s="78"/>
      <c r="Y23" s="278"/>
      <c r="Z23" s="279"/>
      <c r="AA23" s="279"/>
      <c r="AB23" s="279"/>
      <c r="AC23" s="279"/>
      <c r="AD23" s="279"/>
      <c r="AE23" s="279"/>
      <c r="AF23" s="279"/>
      <c r="AG23" s="280"/>
      <c r="AH23" s="305"/>
      <c r="AI23" s="305"/>
      <c r="AJ23" s="305"/>
      <c r="AK23" s="305"/>
    </row>
    <row r="24" spans="2:37" ht="45" customHeight="1">
      <c r="B24" s="290"/>
      <c r="C24" s="272"/>
      <c r="D24" s="273"/>
      <c r="E24" s="274"/>
      <c r="F24" s="274"/>
      <c r="G24" s="274"/>
      <c r="H24" s="274"/>
      <c r="I24" s="274"/>
      <c r="J24" s="290"/>
      <c r="K24" s="272"/>
      <c r="L24" s="272"/>
      <c r="M24" s="272"/>
      <c r="N24" s="272"/>
      <c r="O24" s="272"/>
      <c r="P24" s="272"/>
      <c r="Q24" s="272"/>
      <c r="R24" s="272"/>
      <c r="S24" s="272"/>
      <c r="T24" s="272"/>
      <c r="U24" s="272"/>
      <c r="V24" s="272"/>
      <c r="W24" s="273"/>
      <c r="X24" s="78"/>
      <c r="Y24" s="278"/>
      <c r="Z24" s="279"/>
      <c r="AA24" s="279"/>
      <c r="AB24" s="279"/>
      <c r="AC24" s="279"/>
      <c r="AD24" s="279"/>
      <c r="AE24" s="279"/>
      <c r="AF24" s="279"/>
      <c r="AG24" s="280"/>
      <c r="AH24" s="305"/>
      <c r="AI24" s="305"/>
      <c r="AJ24" s="305"/>
      <c r="AK24" s="305"/>
    </row>
    <row r="25" spans="2:37" ht="45" customHeight="1">
      <c r="B25" s="290"/>
      <c r="C25" s="272"/>
      <c r="D25" s="273"/>
      <c r="E25" s="274"/>
      <c r="F25" s="274"/>
      <c r="G25" s="274"/>
      <c r="H25" s="274"/>
      <c r="I25" s="274"/>
      <c r="J25" s="290"/>
      <c r="K25" s="272"/>
      <c r="L25" s="272"/>
      <c r="M25" s="272"/>
      <c r="N25" s="272"/>
      <c r="O25" s="272"/>
      <c r="P25" s="272"/>
      <c r="Q25" s="272"/>
      <c r="R25" s="272"/>
      <c r="S25" s="272"/>
      <c r="T25" s="272"/>
      <c r="U25" s="272"/>
      <c r="V25" s="272"/>
      <c r="W25" s="273"/>
      <c r="X25" s="78"/>
      <c r="Y25" s="278"/>
      <c r="Z25" s="279"/>
      <c r="AA25" s="279"/>
      <c r="AB25" s="279"/>
      <c r="AC25" s="279"/>
      <c r="AD25" s="279"/>
      <c r="AE25" s="279"/>
      <c r="AF25" s="279"/>
      <c r="AG25" s="280"/>
      <c r="AH25" s="305"/>
      <c r="AI25" s="305"/>
      <c r="AJ25" s="305"/>
      <c r="AK25" s="305"/>
    </row>
    <row r="26" spans="2:37" ht="45" customHeight="1">
      <c r="B26" s="290"/>
      <c r="C26" s="272"/>
      <c r="D26" s="273"/>
      <c r="E26" s="274"/>
      <c r="F26" s="274"/>
      <c r="G26" s="274"/>
      <c r="H26" s="274"/>
      <c r="I26" s="274"/>
      <c r="J26" s="290"/>
      <c r="K26" s="272"/>
      <c r="L26" s="272"/>
      <c r="M26" s="272"/>
      <c r="N26" s="272"/>
      <c r="O26" s="272"/>
      <c r="P26" s="272"/>
      <c r="Q26" s="272"/>
      <c r="R26" s="272"/>
      <c r="S26" s="272"/>
      <c r="T26" s="272"/>
      <c r="U26" s="272"/>
      <c r="V26" s="272"/>
      <c r="W26" s="273"/>
      <c r="X26" s="78"/>
      <c r="Y26" s="278"/>
      <c r="Z26" s="279"/>
      <c r="AA26" s="279"/>
      <c r="AB26" s="279"/>
      <c r="AC26" s="279"/>
      <c r="AD26" s="279"/>
      <c r="AE26" s="279"/>
      <c r="AF26" s="279"/>
      <c r="AG26" s="280"/>
      <c r="AH26" s="305"/>
      <c r="AI26" s="305"/>
      <c r="AJ26" s="305"/>
      <c r="AK26" s="305"/>
    </row>
    <row r="27" spans="2:37" ht="14.25"/>
    <row r="28" spans="2:37" ht="14.25"/>
    <row r="29" spans="2:37" ht="14.25"/>
    <row r="30" spans="2:37" ht="14.25"/>
    <row r="31" spans="2:37" ht="14.25"/>
    <row r="32" spans="2:37" ht="14.25"/>
    <row r="33" ht="14.25"/>
    <row r="34" ht="14.25"/>
    <row r="35" ht="14.25"/>
    <row r="36" ht="14.25"/>
    <row r="37" ht="14.25"/>
    <row r="38" ht="14.25"/>
    <row r="39" ht="14.25"/>
    <row r="40" ht="14.25"/>
    <row r="41" ht="14.25"/>
    <row r="42" ht="14.25"/>
    <row r="43" ht="14.25"/>
    <row r="44" ht="14.25"/>
    <row r="45" ht="14.25"/>
    <row r="46" ht="14.25"/>
    <row r="47" ht="14.25"/>
    <row r="48" ht="14.25"/>
    <row r="49" ht="14.25"/>
    <row r="50" ht="14.25"/>
    <row r="51" ht="14.25"/>
    <row r="52" ht="14.25"/>
    <row r="53" ht="14.25"/>
    <row r="54" ht="14.25"/>
    <row r="55" ht="14.25"/>
    <row r="56" ht="14.25"/>
    <row r="57" ht="14.25"/>
    <row r="58" ht="14.25"/>
    <row r="59" ht="14.25"/>
    <row r="60" ht="14.25"/>
    <row r="61" ht="14.25"/>
    <row r="62" ht="14.25"/>
    <row r="63" ht="14.25"/>
    <row r="64" ht="14.25"/>
    <row r="65" ht="14.25"/>
    <row r="66" ht="14.25"/>
    <row r="67" ht="14.25"/>
    <row r="68" ht="14.25"/>
    <row r="69" ht="14.25"/>
    <row r="70" ht="14.25"/>
    <row r="71" ht="14.25"/>
    <row r="72" ht="14.25"/>
    <row r="73" ht="14.25"/>
    <row r="74" ht="14.25"/>
    <row r="75" ht="14.25"/>
    <row r="76" ht="14.25"/>
    <row r="77" ht="14.25"/>
    <row r="78" ht="14.25"/>
    <row r="79" ht="14.25"/>
    <row r="80" ht="14.25"/>
    <row r="81" ht="14.25"/>
    <row r="82" ht="14.25"/>
    <row r="83" ht="14.25"/>
    <row r="84" ht="14.25"/>
    <row r="85" ht="14.25"/>
    <row r="86" ht="14.25"/>
    <row r="87" ht="14.25"/>
    <row r="88" ht="14.25"/>
    <row r="89" ht="14.25"/>
    <row r="90" ht="14.25"/>
    <row r="91" ht="14.25"/>
    <row r="92" ht="14.25"/>
  </sheetData>
  <sheetProtection algorithmName="SHA-512" hashValue="Rz2VADfp/EBCcuo/MxtUEAwYbkr5PuopBc/g+BYpHmiyChS+k3BEJgPR0wWrVsTUX24hDR9BbOCSUP6FaWaMJg==" saltValue="FqnnroaArAMvqCzZyw9sQg==" spinCount="100000" sheet="1" objects="1" scenarios="1"/>
  <protectedRanges>
    <protectedRange sqref="A9:AB10 E11:AJ11 A11:D26 A27:AJ288 AG9:AH10 E12:AG16 E18:AG26 E17:I17 X17:AG17" name="Rango1"/>
    <protectedRange sqref="J17:W17" name="Rango1_1"/>
  </protectedRanges>
  <mergeCells count="82">
    <mergeCell ref="B26:D26"/>
    <mergeCell ref="E26:I26"/>
    <mergeCell ref="J26:W26"/>
    <mergeCell ref="Y26:AG26"/>
    <mergeCell ref="AH26:AK26"/>
    <mergeCell ref="B24:D24"/>
    <mergeCell ref="E24:I24"/>
    <mergeCell ref="J24:W24"/>
    <mergeCell ref="Y24:AG24"/>
    <mergeCell ref="AH24:AK24"/>
    <mergeCell ref="B25:D25"/>
    <mergeCell ref="E25:I25"/>
    <mergeCell ref="J25:W25"/>
    <mergeCell ref="Y25:AG25"/>
    <mergeCell ref="AH25:AK25"/>
    <mergeCell ref="B22:D22"/>
    <mergeCell ref="E22:I22"/>
    <mergeCell ref="J22:W22"/>
    <mergeCell ref="Y22:AG22"/>
    <mergeCell ref="AH22:AK22"/>
    <mergeCell ref="B23:D23"/>
    <mergeCell ref="E23:I23"/>
    <mergeCell ref="J23:W23"/>
    <mergeCell ref="Y23:AG23"/>
    <mergeCell ref="AH23:AK23"/>
    <mergeCell ref="B20:D20"/>
    <mergeCell ref="E20:I20"/>
    <mergeCell ref="J20:W20"/>
    <mergeCell ref="Y20:AG20"/>
    <mergeCell ref="AH20:AK20"/>
    <mergeCell ref="B21:D21"/>
    <mergeCell ref="E21:I21"/>
    <mergeCell ref="J21:W21"/>
    <mergeCell ref="Y21:AG21"/>
    <mergeCell ref="AH21:AK21"/>
    <mergeCell ref="B18:D18"/>
    <mergeCell ref="E18:I18"/>
    <mergeCell ref="J18:W18"/>
    <mergeCell ref="Y18:AG18"/>
    <mergeCell ref="AH18:AK18"/>
    <mergeCell ref="B19:D19"/>
    <mergeCell ref="E19:I19"/>
    <mergeCell ref="J19:W19"/>
    <mergeCell ref="Y19:AG19"/>
    <mergeCell ref="AH19:AK19"/>
    <mergeCell ref="B16:D16"/>
    <mergeCell ref="E16:I16"/>
    <mergeCell ref="J16:W16"/>
    <mergeCell ref="Y16:AG16"/>
    <mergeCell ref="AH16:AK16"/>
    <mergeCell ref="B17:D17"/>
    <mergeCell ref="E17:I17"/>
    <mergeCell ref="J17:W17"/>
    <mergeCell ref="Y17:AG17"/>
    <mergeCell ref="AH17:AK17"/>
    <mergeCell ref="B14:D14"/>
    <mergeCell ref="E14:I14"/>
    <mergeCell ref="J14:W14"/>
    <mergeCell ref="Y14:AG14"/>
    <mergeCell ref="AH14:AK14"/>
    <mergeCell ref="B15:D15"/>
    <mergeCell ref="E15:I15"/>
    <mergeCell ref="J15:W15"/>
    <mergeCell ref="Y15:AG15"/>
    <mergeCell ref="AH15:AK15"/>
    <mergeCell ref="B12:D12"/>
    <mergeCell ref="E12:I12"/>
    <mergeCell ref="J12:W12"/>
    <mergeCell ref="Y12:AG12"/>
    <mergeCell ref="AH12:AK12"/>
    <mergeCell ref="B13:D13"/>
    <mergeCell ref="E13:I13"/>
    <mergeCell ref="J13:W13"/>
    <mergeCell ref="Y13:AG13"/>
    <mergeCell ref="AH13:AK13"/>
    <mergeCell ref="B10:H10"/>
    <mergeCell ref="J10:AF10"/>
    <mergeCell ref="B2:I7"/>
    <mergeCell ref="J2:AJ4"/>
    <mergeCell ref="J5:AJ7"/>
    <mergeCell ref="B9:H9"/>
    <mergeCell ref="J9:AJ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A3D40-5052-4B5E-8C56-51204660B62B}">
  <sheetPr>
    <tabColor rgb="FFB068E6"/>
  </sheetPr>
  <dimension ref="B1:I967"/>
  <sheetViews>
    <sheetView topLeftCell="A11" workbookViewId="0">
      <selection activeCell="C100" sqref="C99:C100"/>
    </sheetView>
  </sheetViews>
  <sheetFormatPr baseColWidth="10" defaultColWidth="14.42578125" defaultRowHeight="15" customHeight="1"/>
  <cols>
    <col min="1" max="1" width="2.85546875" style="1" customWidth="1"/>
    <col min="2" max="2" width="6.28515625" style="1" customWidth="1"/>
    <col min="3" max="3" width="32.85546875" style="1" customWidth="1"/>
    <col min="4" max="4" width="35" style="1" customWidth="1"/>
    <col min="5" max="5" width="29" style="1" customWidth="1"/>
    <col min="6" max="6" width="10.7109375" style="1" customWidth="1"/>
    <col min="7" max="7" width="19.28515625" style="1" customWidth="1"/>
    <col min="8" max="8" width="22.85546875" style="1" customWidth="1"/>
    <col min="9" max="16" width="10.7109375" style="1" customWidth="1"/>
    <col min="17" max="16384" width="14.42578125" style="1"/>
  </cols>
  <sheetData>
    <row r="1" spans="2:9" ht="21" customHeight="1">
      <c r="C1" s="226" t="s">
        <v>264</v>
      </c>
      <c r="D1" s="227"/>
      <c r="E1" s="83"/>
      <c r="F1" s="83"/>
      <c r="G1" s="83"/>
      <c r="H1" s="81"/>
    </row>
    <row r="2" spans="2:9" ht="42.75" customHeight="1">
      <c r="C2" s="228"/>
      <c r="D2" s="229"/>
      <c r="E2" s="84"/>
      <c r="F2" s="84"/>
      <c r="G2" s="84"/>
      <c r="H2" s="82"/>
    </row>
    <row r="3" spans="2:9" ht="21" customHeight="1">
      <c r="C3" s="228"/>
      <c r="D3" s="229"/>
      <c r="E3" s="84"/>
      <c r="F3" s="84"/>
      <c r="G3" s="84"/>
      <c r="H3" s="82"/>
      <c r="I3"/>
    </row>
    <row r="4" spans="2:9" ht="35.25" customHeight="1">
      <c r="C4" s="230"/>
      <c r="D4" s="231"/>
      <c r="E4" s="84"/>
      <c r="F4" s="84"/>
      <c r="G4" s="84"/>
      <c r="H4" s="82"/>
    </row>
    <row r="5" spans="2:9" ht="33.75" customHeight="1">
      <c r="C5" s="313" t="s">
        <v>54</v>
      </c>
      <c r="D5" s="314"/>
      <c r="E5" s="314"/>
      <c r="F5" s="314"/>
      <c r="G5" s="314"/>
      <c r="H5" s="315"/>
    </row>
    <row r="6" spans="2:9" ht="42" customHeight="1" thickBot="1">
      <c r="C6" s="85" t="s">
        <v>55</v>
      </c>
      <c r="D6" s="85" t="s">
        <v>56</v>
      </c>
      <c r="E6" s="85" t="s">
        <v>57</v>
      </c>
      <c r="F6" s="86" t="s">
        <v>58</v>
      </c>
      <c r="G6" s="87" t="s">
        <v>59</v>
      </c>
      <c r="H6" s="87" t="s">
        <v>60</v>
      </c>
    </row>
    <row r="7" spans="2:9" ht="102.75" customHeight="1">
      <c r="B7" s="316" t="s">
        <v>61</v>
      </c>
      <c r="C7" s="40" t="s">
        <v>62</v>
      </c>
      <c r="D7" s="15" t="s">
        <v>63</v>
      </c>
      <c r="E7" s="16" t="s">
        <v>64</v>
      </c>
      <c r="F7" s="17">
        <v>1</v>
      </c>
      <c r="G7" s="18">
        <v>150000</v>
      </c>
      <c r="H7" s="43">
        <v>127500</v>
      </c>
    </row>
    <row r="8" spans="2:9" ht="102.75" customHeight="1" thickBot="1">
      <c r="B8" s="317"/>
      <c r="C8" s="41" t="s">
        <v>65</v>
      </c>
      <c r="D8" s="20" t="s">
        <v>63</v>
      </c>
      <c r="E8" s="21" t="s">
        <v>66</v>
      </c>
      <c r="F8" s="22">
        <v>2</v>
      </c>
      <c r="G8" s="23">
        <v>150000</v>
      </c>
      <c r="H8" s="44">
        <v>127500</v>
      </c>
    </row>
    <row r="9" spans="2:9" ht="93" customHeight="1">
      <c r="B9" s="318" t="s">
        <v>67</v>
      </c>
      <c r="C9" s="40" t="s">
        <v>68</v>
      </c>
      <c r="D9" s="15" t="s">
        <v>69</v>
      </c>
      <c r="E9" s="16" t="s">
        <v>70</v>
      </c>
      <c r="F9" s="17">
        <v>3</v>
      </c>
      <c r="G9" s="18">
        <v>140000</v>
      </c>
      <c r="H9" s="19">
        <f t="shared" ref="H9:H72" si="0">G9-(G9*0.15)</f>
        <v>119000</v>
      </c>
    </row>
    <row r="10" spans="2:9" ht="93" customHeight="1" thickBot="1">
      <c r="B10" s="319"/>
      <c r="C10" s="41" t="s">
        <v>71</v>
      </c>
      <c r="D10" s="20" t="s">
        <v>69</v>
      </c>
      <c r="E10" s="21" t="s">
        <v>72</v>
      </c>
      <c r="F10" s="22">
        <v>4</v>
      </c>
      <c r="G10" s="23">
        <v>130000</v>
      </c>
      <c r="H10" s="24">
        <f t="shared" si="0"/>
        <v>110500</v>
      </c>
    </row>
    <row r="11" spans="2:9" ht="101.25" customHeight="1">
      <c r="B11" s="320" t="s">
        <v>73</v>
      </c>
      <c r="C11" s="40" t="s">
        <v>74</v>
      </c>
      <c r="D11" s="15" t="s">
        <v>75</v>
      </c>
      <c r="E11" s="16" t="s">
        <v>76</v>
      </c>
      <c r="F11" s="17">
        <v>5</v>
      </c>
      <c r="G11" s="18">
        <v>100000</v>
      </c>
      <c r="H11" s="19">
        <f t="shared" si="0"/>
        <v>85000</v>
      </c>
    </row>
    <row r="12" spans="2:9" ht="99" customHeight="1">
      <c r="B12" s="321"/>
      <c r="C12" s="27" t="s">
        <v>77</v>
      </c>
      <c r="D12" s="3" t="s">
        <v>75</v>
      </c>
      <c r="E12" s="5" t="s">
        <v>76</v>
      </c>
      <c r="F12" s="6">
        <v>6</v>
      </c>
      <c r="G12" s="7">
        <v>100000</v>
      </c>
      <c r="H12" s="25">
        <f t="shared" si="0"/>
        <v>85000</v>
      </c>
    </row>
    <row r="13" spans="2:9" ht="87" customHeight="1">
      <c r="B13" s="321"/>
      <c r="C13" s="27" t="s">
        <v>78</v>
      </c>
      <c r="D13" s="3" t="s">
        <v>75</v>
      </c>
      <c r="E13" s="5" t="s">
        <v>76</v>
      </c>
      <c r="F13" s="6">
        <v>7</v>
      </c>
      <c r="G13" s="7">
        <v>100000</v>
      </c>
      <c r="H13" s="25">
        <f t="shared" si="0"/>
        <v>85000</v>
      </c>
    </row>
    <row r="14" spans="2:9" ht="78" customHeight="1" thickBot="1">
      <c r="B14" s="322"/>
      <c r="C14" s="41" t="s">
        <v>18</v>
      </c>
      <c r="D14" s="20" t="s">
        <v>75</v>
      </c>
      <c r="E14" s="21" t="s">
        <v>79</v>
      </c>
      <c r="F14" s="22">
        <v>8</v>
      </c>
      <c r="G14" s="23">
        <v>90000</v>
      </c>
      <c r="H14" s="24">
        <f t="shared" si="0"/>
        <v>76500</v>
      </c>
    </row>
    <row r="15" spans="2:9" ht="78.75" customHeight="1">
      <c r="B15" s="323" t="s">
        <v>80</v>
      </c>
      <c r="C15" s="26" t="s">
        <v>81</v>
      </c>
      <c r="D15" s="10" t="s">
        <v>82</v>
      </c>
      <c r="E15" s="11" t="s">
        <v>83</v>
      </c>
      <c r="F15" s="12">
        <v>10</v>
      </c>
      <c r="G15" s="13">
        <v>220000</v>
      </c>
      <c r="H15" s="14">
        <f t="shared" si="0"/>
        <v>187000</v>
      </c>
    </row>
    <row r="16" spans="2:9" ht="78.75" customHeight="1">
      <c r="B16" s="324"/>
      <c r="C16" s="27" t="s">
        <v>84</v>
      </c>
      <c r="D16" s="3" t="s">
        <v>85</v>
      </c>
      <c r="E16" s="5" t="s">
        <v>83</v>
      </c>
      <c r="F16" s="6">
        <v>11</v>
      </c>
      <c r="G16" s="7">
        <v>180000</v>
      </c>
      <c r="H16" s="8">
        <f t="shared" si="0"/>
        <v>153000</v>
      </c>
    </row>
    <row r="17" spans="2:8" ht="81.75" customHeight="1" thickBot="1">
      <c r="B17" s="325"/>
      <c r="C17" s="29" t="s">
        <v>86</v>
      </c>
      <c r="D17" s="30" t="s">
        <v>82</v>
      </c>
      <c r="E17" s="31" t="s">
        <v>87</v>
      </c>
      <c r="F17" s="32">
        <v>12</v>
      </c>
      <c r="G17" s="33">
        <v>180000</v>
      </c>
      <c r="H17" s="34">
        <f t="shared" si="0"/>
        <v>153000</v>
      </c>
    </row>
    <row r="18" spans="2:8" ht="60" customHeight="1">
      <c r="B18" s="309" t="s">
        <v>88</v>
      </c>
      <c r="C18" s="35" t="s">
        <v>89</v>
      </c>
      <c r="D18" s="36" t="s">
        <v>90</v>
      </c>
      <c r="E18" s="16" t="s">
        <v>91</v>
      </c>
      <c r="F18" s="17">
        <v>13</v>
      </c>
      <c r="G18" s="37">
        <v>115000</v>
      </c>
      <c r="H18" s="19">
        <f t="shared" si="0"/>
        <v>97750</v>
      </c>
    </row>
    <row r="19" spans="2:8" ht="60" customHeight="1">
      <c r="B19" s="310"/>
      <c r="C19" s="28" t="s">
        <v>92</v>
      </c>
      <c r="D19" s="3" t="s">
        <v>93</v>
      </c>
      <c r="E19" s="5" t="s">
        <v>91</v>
      </c>
      <c r="F19" s="6">
        <v>14</v>
      </c>
      <c r="G19" s="9" t="s">
        <v>94</v>
      </c>
      <c r="H19" s="25">
        <f t="shared" si="0"/>
        <v>420422.75</v>
      </c>
    </row>
    <row r="20" spans="2:8" ht="60" customHeight="1">
      <c r="B20" s="310"/>
      <c r="C20" s="28" t="s">
        <v>95</v>
      </c>
      <c r="D20" s="3" t="s">
        <v>93</v>
      </c>
      <c r="E20" s="5" t="s">
        <v>91</v>
      </c>
      <c r="F20" s="6">
        <v>15</v>
      </c>
      <c r="G20" s="9" t="s">
        <v>96</v>
      </c>
      <c r="H20" s="25">
        <f t="shared" si="0"/>
        <v>420423.6</v>
      </c>
    </row>
    <row r="21" spans="2:8" ht="60" customHeight="1">
      <c r="B21" s="310"/>
      <c r="C21" s="28" t="s">
        <v>97</v>
      </c>
      <c r="D21" s="3" t="s">
        <v>93</v>
      </c>
      <c r="E21" s="5" t="s">
        <v>91</v>
      </c>
      <c r="F21" s="6">
        <v>16</v>
      </c>
      <c r="G21" s="9" t="s">
        <v>98</v>
      </c>
      <c r="H21" s="25">
        <f t="shared" si="0"/>
        <v>365585</v>
      </c>
    </row>
    <row r="22" spans="2:8" ht="60" customHeight="1">
      <c r="B22" s="310"/>
      <c r="C22" s="28" t="s">
        <v>99</v>
      </c>
      <c r="D22" s="3" t="s">
        <v>100</v>
      </c>
      <c r="E22" s="5" t="s">
        <v>91</v>
      </c>
      <c r="F22" s="6">
        <v>17</v>
      </c>
      <c r="G22" s="9">
        <v>135000</v>
      </c>
      <c r="H22" s="25">
        <f t="shared" si="0"/>
        <v>114750</v>
      </c>
    </row>
    <row r="23" spans="2:8" ht="60" customHeight="1">
      <c r="B23" s="310"/>
      <c r="C23" s="28" t="s">
        <v>101</v>
      </c>
      <c r="D23" s="3" t="s">
        <v>102</v>
      </c>
      <c r="E23" s="5" t="s">
        <v>91</v>
      </c>
      <c r="F23" s="6">
        <v>18</v>
      </c>
      <c r="G23" s="9">
        <v>80000</v>
      </c>
      <c r="H23" s="25">
        <f t="shared" si="0"/>
        <v>68000</v>
      </c>
    </row>
    <row r="24" spans="2:8" ht="60" customHeight="1">
      <c r="B24" s="310"/>
      <c r="C24" s="28" t="s">
        <v>103</v>
      </c>
      <c r="D24" s="2" t="s">
        <v>104</v>
      </c>
      <c r="E24" s="5" t="s">
        <v>91</v>
      </c>
      <c r="F24" s="6">
        <v>19</v>
      </c>
      <c r="G24" s="9">
        <v>120000</v>
      </c>
      <c r="H24" s="25">
        <f t="shared" si="0"/>
        <v>102000</v>
      </c>
    </row>
    <row r="25" spans="2:8" ht="60" customHeight="1">
      <c r="B25" s="310"/>
      <c r="C25" s="28" t="s">
        <v>105</v>
      </c>
      <c r="D25" s="2" t="s">
        <v>106</v>
      </c>
      <c r="E25" s="5" t="s">
        <v>91</v>
      </c>
      <c r="F25" s="6">
        <v>20</v>
      </c>
      <c r="G25" s="9">
        <v>110000</v>
      </c>
      <c r="H25" s="25">
        <f t="shared" si="0"/>
        <v>93500</v>
      </c>
    </row>
    <row r="26" spans="2:8" ht="60" customHeight="1">
      <c r="B26" s="310"/>
      <c r="C26" s="28" t="s">
        <v>107</v>
      </c>
      <c r="D26" s="3" t="s">
        <v>108</v>
      </c>
      <c r="E26" s="5" t="s">
        <v>91</v>
      </c>
      <c r="F26" s="6">
        <v>21</v>
      </c>
      <c r="G26" s="9">
        <v>106950</v>
      </c>
      <c r="H26" s="25">
        <f t="shared" si="0"/>
        <v>90907.5</v>
      </c>
    </row>
    <row r="27" spans="2:8" ht="60" customHeight="1">
      <c r="B27" s="310"/>
      <c r="C27" s="28" t="s">
        <v>109</v>
      </c>
      <c r="D27" s="3" t="s">
        <v>110</v>
      </c>
      <c r="E27" s="5" t="s">
        <v>91</v>
      </c>
      <c r="F27" s="6">
        <v>22</v>
      </c>
      <c r="G27" s="9">
        <v>135000</v>
      </c>
      <c r="H27" s="25">
        <f t="shared" si="0"/>
        <v>114750</v>
      </c>
    </row>
    <row r="28" spans="2:8" ht="60" customHeight="1">
      <c r="B28" s="310"/>
      <c r="C28" s="28" t="s">
        <v>111</v>
      </c>
      <c r="D28" s="3" t="s">
        <v>69</v>
      </c>
      <c r="E28" s="5" t="s">
        <v>91</v>
      </c>
      <c r="F28" s="6">
        <v>23</v>
      </c>
      <c r="G28" s="9" t="s">
        <v>112</v>
      </c>
      <c r="H28" s="25">
        <f t="shared" si="0"/>
        <v>90907.5</v>
      </c>
    </row>
    <row r="29" spans="2:8" ht="60" customHeight="1">
      <c r="B29" s="310"/>
      <c r="C29" s="28" t="s">
        <v>113</v>
      </c>
      <c r="D29" s="3" t="s">
        <v>69</v>
      </c>
      <c r="E29" s="5" t="s">
        <v>91</v>
      </c>
      <c r="F29" s="6">
        <v>24</v>
      </c>
      <c r="G29" s="9" t="s">
        <v>114</v>
      </c>
      <c r="H29" s="25">
        <f t="shared" si="0"/>
        <v>90908.35</v>
      </c>
    </row>
    <row r="30" spans="2:8" ht="60" customHeight="1">
      <c r="B30" s="310"/>
      <c r="C30" s="28" t="s">
        <v>115</v>
      </c>
      <c r="D30" s="3" t="s">
        <v>116</v>
      </c>
      <c r="E30" s="5" t="s">
        <v>91</v>
      </c>
      <c r="F30" s="6">
        <v>25</v>
      </c>
      <c r="G30" s="7">
        <v>220000</v>
      </c>
      <c r="H30" s="25">
        <f t="shared" si="0"/>
        <v>187000</v>
      </c>
    </row>
    <row r="31" spans="2:8" ht="60" customHeight="1">
      <c r="B31" s="310"/>
      <c r="C31" s="28" t="s">
        <v>117</v>
      </c>
      <c r="D31" s="3" t="s">
        <v>118</v>
      </c>
      <c r="E31" s="5" t="s">
        <v>91</v>
      </c>
      <c r="F31" s="6">
        <v>26</v>
      </c>
      <c r="G31" s="7">
        <v>177439.56043956001</v>
      </c>
      <c r="H31" s="25">
        <f t="shared" si="0"/>
        <v>150823.626373626</v>
      </c>
    </row>
    <row r="32" spans="2:8" ht="60" customHeight="1">
      <c r="B32" s="310"/>
      <c r="C32" s="28" t="s">
        <v>119</v>
      </c>
      <c r="D32" s="3" t="s">
        <v>120</v>
      </c>
      <c r="E32" s="5" t="s">
        <v>91</v>
      </c>
      <c r="F32" s="6">
        <v>27</v>
      </c>
      <c r="G32" s="7">
        <v>115000</v>
      </c>
      <c r="H32" s="25">
        <f t="shared" si="0"/>
        <v>97750</v>
      </c>
    </row>
    <row r="33" spans="2:8" ht="60" customHeight="1">
      <c r="B33" s="310"/>
      <c r="C33" s="28" t="s">
        <v>121</v>
      </c>
      <c r="D33" s="2" t="s">
        <v>90</v>
      </c>
      <c r="E33" s="5" t="s">
        <v>91</v>
      </c>
      <c r="F33" s="6">
        <v>28</v>
      </c>
      <c r="G33" s="7">
        <v>115000</v>
      </c>
      <c r="H33" s="25">
        <f t="shared" si="0"/>
        <v>97750</v>
      </c>
    </row>
    <row r="34" spans="2:8" ht="60" customHeight="1">
      <c r="B34" s="310"/>
      <c r="C34" s="28" t="s">
        <v>122</v>
      </c>
      <c r="D34" s="3" t="s">
        <v>123</v>
      </c>
      <c r="E34" s="5" t="s">
        <v>91</v>
      </c>
      <c r="F34" s="6">
        <v>29</v>
      </c>
      <c r="G34" s="7">
        <v>135700</v>
      </c>
      <c r="H34" s="25">
        <f t="shared" si="0"/>
        <v>115345</v>
      </c>
    </row>
    <row r="35" spans="2:8" ht="60" customHeight="1">
      <c r="B35" s="310"/>
      <c r="C35" s="28" t="s">
        <v>124</v>
      </c>
      <c r="D35" s="3" t="s">
        <v>125</v>
      </c>
      <c r="E35" s="5" t="s">
        <v>91</v>
      </c>
      <c r="F35" s="6">
        <v>30</v>
      </c>
      <c r="G35" s="7">
        <v>130000</v>
      </c>
      <c r="H35" s="25">
        <f t="shared" si="0"/>
        <v>110500</v>
      </c>
    </row>
    <row r="36" spans="2:8" ht="60" customHeight="1">
      <c r="B36" s="310"/>
      <c r="C36" s="28" t="s">
        <v>126</v>
      </c>
      <c r="D36" s="3" t="s">
        <v>93</v>
      </c>
      <c r="E36" s="5" t="s">
        <v>91</v>
      </c>
      <c r="F36" s="6">
        <v>31</v>
      </c>
      <c r="G36" s="9" t="s">
        <v>98</v>
      </c>
      <c r="H36" s="25">
        <f t="shared" si="0"/>
        <v>365585</v>
      </c>
    </row>
    <row r="37" spans="2:8" ht="60" customHeight="1">
      <c r="B37" s="310"/>
      <c r="C37" s="28" t="s">
        <v>127</v>
      </c>
      <c r="D37" s="3" t="s">
        <v>69</v>
      </c>
      <c r="E37" s="5" t="s">
        <v>91</v>
      </c>
      <c r="F37" s="6">
        <v>32</v>
      </c>
      <c r="G37" s="7">
        <v>220000</v>
      </c>
      <c r="H37" s="25">
        <f t="shared" si="0"/>
        <v>187000</v>
      </c>
    </row>
    <row r="38" spans="2:8" ht="60" customHeight="1">
      <c r="B38" s="310"/>
      <c r="C38" s="28" t="s">
        <v>128</v>
      </c>
      <c r="D38" s="3" t="s">
        <v>129</v>
      </c>
      <c r="E38" s="5" t="s">
        <v>91</v>
      </c>
      <c r="F38" s="6">
        <v>33</v>
      </c>
      <c r="G38" s="7">
        <v>190000</v>
      </c>
      <c r="H38" s="25">
        <f t="shared" si="0"/>
        <v>161500</v>
      </c>
    </row>
    <row r="39" spans="2:8" ht="60" customHeight="1">
      <c r="B39" s="310"/>
      <c r="C39" s="28" t="s">
        <v>130</v>
      </c>
      <c r="D39" s="3" t="s">
        <v>129</v>
      </c>
      <c r="E39" s="5" t="s">
        <v>91</v>
      </c>
      <c r="F39" s="6">
        <v>34</v>
      </c>
      <c r="G39" s="7">
        <v>190000</v>
      </c>
      <c r="H39" s="25">
        <f t="shared" si="0"/>
        <v>161500</v>
      </c>
    </row>
    <row r="40" spans="2:8" ht="60" customHeight="1">
      <c r="B40" s="310"/>
      <c r="C40" s="28" t="s">
        <v>131</v>
      </c>
      <c r="D40" s="3" t="s">
        <v>132</v>
      </c>
      <c r="E40" s="5" t="s">
        <v>91</v>
      </c>
      <c r="F40" s="6">
        <v>35</v>
      </c>
      <c r="G40" s="7">
        <v>220000</v>
      </c>
      <c r="H40" s="25">
        <f t="shared" si="0"/>
        <v>187000</v>
      </c>
    </row>
    <row r="41" spans="2:8" ht="60" customHeight="1">
      <c r="B41" s="310"/>
      <c r="C41" s="28" t="s">
        <v>133</v>
      </c>
      <c r="D41" s="3" t="s">
        <v>134</v>
      </c>
      <c r="E41" s="5" t="s">
        <v>91</v>
      </c>
      <c r="F41" s="6">
        <v>36</v>
      </c>
      <c r="G41" s="7">
        <v>270000</v>
      </c>
      <c r="H41" s="25">
        <f t="shared" si="0"/>
        <v>229500</v>
      </c>
    </row>
    <row r="42" spans="2:8" ht="60" customHeight="1">
      <c r="B42" s="310"/>
      <c r="C42" s="28" t="s">
        <v>135</v>
      </c>
      <c r="D42" s="3" t="s">
        <v>136</v>
      </c>
      <c r="E42" s="5" t="s">
        <v>91</v>
      </c>
      <c r="F42" s="6">
        <v>37</v>
      </c>
      <c r="G42" s="9">
        <v>135000</v>
      </c>
      <c r="H42" s="25">
        <f t="shared" si="0"/>
        <v>114750</v>
      </c>
    </row>
    <row r="43" spans="2:8" ht="60" customHeight="1">
      <c r="B43" s="310"/>
      <c r="C43" s="28" t="s">
        <v>137</v>
      </c>
      <c r="D43" s="3" t="s">
        <v>138</v>
      </c>
      <c r="E43" s="5" t="s">
        <v>91</v>
      </c>
      <c r="F43" s="6">
        <v>38</v>
      </c>
      <c r="G43" s="9">
        <v>500000</v>
      </c>
      <c r="H43" s="25">
        <f t="shared" si="0"/>
        <v>425000</v>
      </c>
    </row>
    <row r="44" spans="2:8" ht="60" customHeight="1">
      <c r="B44" s="310"/>
      <c r="C44" s="28" t="s">
        <v>139</v>
      </c>
      <c r="D44" s="3" t="s">
        <v>140</v>
      </c>
      <c r="E44" s="5" t="s">
        <v>91</v>
      </c>
      <c r="F44" s="6">
        <v>39</v>
      </c>
      <c r="G44" s="9">
        <v>250000</v>
      </c>
      <c r="H44" s="25">
        <f t="shared" si="0"/>
        <v>212500</v>
      </c>
    </row>
    <row r="45" spans="2:8" ht="60" customHeight="1">
      <c r="B45" s="310"/>
      <c r="C45" s="28" t="s">
        <v>141</v>
      </c>
      <c r="D45" s="3" t="s">
        <v>142</v>
      </c>
      <c r="E45" s="5" t="s">
        <v>91</v>
      </c>
      <c r="F45" s="6">
        <v>40</v>
      </c>
      <c r="G45" s="9">
        <v>190000</v>
      </c>
      <c r="H45" s="25">
        <f t="shared" si="0"/>
        <v>161500</v>
      </c>
    </row>
    <row r="46" spans="2:8" ht="60" customHeight="1">
      <c r="B46" s="310"/>
      <c r="C46" s="28" t="s">
        <v>143</v>
      </c>
      <c r="D46" s="3" t="s">
        <v>144</v>
      </c>
      <c r="E46" s="5" t="s">
        <v>91</v>
      </c>
      <c r="F46" s="6">
        <v>41</v>
      </c>
      <c r="G46" s="9">
        <v>172000</v>
      </c>
      <c r="H46" s="25">
        <f t="shared" si="0"/>
        <v>146200</v>
      </c>
    </row>
    <row r="47" spans="2:8" ht="60" customHeight="1">
      <c r="B47" s="310"/>
      <c r="C47" s="28" t="s">
        <v>145</v>
      </c>
      <c r="D47" s="3" t="s">
        <v>146</v>
      </c>
      <c r="E47" s="5" t="s">
        <v>91</v>
      </c>
      <c r="F47" s="6">
        <v>42</v>
      </c>
      <c r="G47" s="9" t="s">
        <v>147</v>
      </c>
      <c r="H47" s="25">
        <f t="shared" si="0"/>
        <v>146625</v>
      </c>
    </row>
    <row r="48" spans="2:8" ht="60" customHeight="1">
      <c r="B48" s="310"/>
      <c r="C48" s="28" t="s">
        <v>148</v>
      </c>
      <c r="D48" s="3" t="s">
        <v>149</v>
      </c>
      <c r="E48" s="5" t="s">
        <v>91</v>
      </c>
      <c r="F48" s="6">
        <v>43</v>
      </c>
      <c r="G48" s="9">
        <v>115000</v>
      </c>
      <c r="H48" s="25">
        <f t="shared" si="0"/>
        <v>97750</v>
      </c>
    </row>
    <row r="49" spans="2:8" ht="60" customHeight="1">
      <c r="B49" s="310"/>
      <c r="C49" s="28" t="s">
        <v>150</v>
      </c>
      <c r="D49" s="3" t="s">
        <v>151</v>
      </c>
      <c r="E49" s="5" t="s">
        <v>91</v>
      </c>
      <c r="F49" s="6">
        <v>44</v>
      </c>
      <c r="G49" s="9">
        <v>120000</v>
      </c>
      <c r="H49" s="25">
        <f t="shared" si="0"/>
        <v>102000</v>
      </c>
    </row>
    <row r="50" spans="2:8" ht="60" customHeight="1">
      <c r="B50" s="310"/>
      <c r="C50" s="28" t="s">
        <v>152</v>
      </c>
      <c r="D50" s="3" t="s">
        <v>153</v>
      </c>
      <c r="E50" s="5" t="s">
        <v>91</v>
      </c>
      <c r="F50" s="6">
        <v>45</v>
      </c>
      <c r="G50" s="9">
        <v>172500</v>
      </c>
      <c r="H50" s="25">
        <f t="shared" si="0"/>
        <v>146625</v>
      </c>
    </row>
    <row r="51" spans="2:8" ht="60" customHeight="1">
      <c r="B51" s="310"/>
      <c r="C51" s="28" t="s">
        <v>154</v>
      </c>
      <c r="D51" s="3" t="s">
        <v>69</v>
      </c>
      <c r="E51" s="5" t="s">
        <v>91</v>
      </c>
      <c r="F51" s="6">
        <v>46</v>
      </c>
      <c r="G51" s="9">
        <v>106951</v>
      </c>
      <c r="H51" s="25">
        <f t="shared" si="0"/>
        <v>90908.35</v>
      </c>
    </row>
    <row r="52" spans="2:8" ht="60" customHeight="1">
      <c r="B52" s="310"/>
      <c r="C52" s="28" t="s">
        <v>155</v>
      </c>
      <c r="D52" s="3" t="s">
        <v>156</v>
      </c>
      <c r="E52" s="5" t="s">
        <v>91</v>
      </c>
      <c r="F52" s="6">
        <v>47</v>
      </c>
      <c r="G52" s="9">
        <v>172500</v>
      </c>
      <c r="H52" s="25">
        <f t="shared" si="0"/>
        <v>146625</v>
      </c>
    </row>
    <row r="53" spans="2:8" ht="46.5" customHeight="1">
      <c r="B53" s="310"/>
      <c r="C53" s="28" t="s">
        <v>157</v>
      </c>
      <c r="D53" s="3" t="s">
        <v>156</v>
      </c>
      <c r="E53" s="5" t="s">
        <v>91</v>
      </c>
      <c r="F53" s="6">
        <v>48</v>
      </c>
      <c r="G53" s="9">
        <v>125000</v>
      </c>
      <c r="H53" s="25">
        <f t="shared" si="0"/>
        <v>106250</v>
      </c>
    </row>
    <row r="54" spans="2:8" ht="43.5" customHeight="1">
      <c r="B54" s="310"/>
      <c r="C54" s="28" t="s">
        <v>158</v>
      </c>
      <c r="D54" s="3" t="s">
        <v>156</v>
      </c>
      <c r="E54" s="5" t="s">
        <v>91</v>
      </c>
      <c r="F54" s="6">
        <v>50</v>
      </c>
      <c r="G54" s="7">
        <v>150000</v>
      </c>
      <c r="H54" s="25">
        <f t="shared" si="0"/>
        <v>127500</v>
      </c>
    </row>
    <row r="55" spans="2:8" ht="60" customHeight="1">
      <c r="B55" s="310"/>
      <c r="C55" s="28" t="s">
        <v>159</v>
      </c>
      <c r="D55" s="2" t="s">
        <v>160</v>
      </c>
      <c r="E55" s="5" t="s">
        <v>91</v>
      </c>
      <c r="F55" s="6">
        <v>51</v>
      </c>
      <c r="G55" s="7">
        <v>135700</v>
      </c>
      <c r="H55" s="25">
        <f t="shared" si="0"/>
        <v>115345</v>
      </c>
    </row>
    <row r="56" spans="2:8" ht="81" customHeight="1">
      <c r="B56" s="310"/>
      <c r="C56" s="28" t="s">
        <v>161</v>
      </c>
      <c r="D56" s="42" t="s">
        <v>162</v>
      </c>
      <c r="E56" s="5" t="s">
        <v>163</v>
      </c>
      <c r="F56" s="6">
        <v>52</v>
      </c>
      <c r="G56" s="7">
        <v>500000</v>
      </c>
      <c r="H56" s="25">
        <f t="shared" si="0"/>
        <v>425000</v>
      </c>
    </row>
    <row r="57" spans="2:8" ht="60" customHeight="1">
      <c r="B57" s="310"/>
      <c r="C57" s="28" t="s">
        <v>164</v>
      </c>
      <c r="D57" s="3" t="s">
        <v>156</v>
      </c>
      <c r="E57" s="5" t="s">
        <v>91</v>
      </c>
      <c r="F57" s="6">
        <v>53</v>
      </c>
      <c r="G57" s="9">
        <v>125000</v>
      </c>
      <c r="H57" s="25">
        <f t="shared" si="0"/>
        <v>106250</v>
      </c>
    </row>
    <row r="58" spans="2:8" ht="60" customHeight="1">
      <c r="B58" s="310"/>
      <c r="C58" s="28" t="s">
        <v>165</v>
      </c>
      <c r="D58" s="3" t="s">
        <v>166</v>
      </c>
      <c r="E58" s="5" t="s">
        <v>91</v>
      </c>
      <c r="F58" s="6">
        <v>54</v>
      </c>
      <c r="G58" s="7">
        <v>80000</v>
      </c>
      <c r="H58" s="25">
        <f t="shared" si="0"/>
        <v>68000</v>
      </c>
    </row>
    <row r="59" spans="2:8" ht="60" customHeight="1">
      <c r="B59" s="310"/>
      <c r="C59" s="28" t="s">
        <v>167</v>
      </c>
      <c r="D59" s="3" t="s">
        <v>166</v>
      </c>
      <c r="E59" s="5" t="s">
        <v>91</v>
      </c>
      <c r="F59" s="6">
        <v>55</v>
      </c>
      <c r="G59" s="7">
        <v>145000</v>
      </c>
      <c r="H59" s="25">
        <f t="shared" si="0"/>
        <v>123250</v>
      </c>
    </row>
    <row r="60" spans="2:8" ht="60" customHeight="1">
      <c r="B60" s="310"/>
      <c r="C60" s="28" t="s">
        <v>168</v>
      </c>
      <c r="D60" s="3" t="s">
        <v>93</v>
      </c>
      <c r="E60" s="5" t="s">
        <v>91</v>
      </c>
      <c r="F60" s="6">
        <v>56</v>
      </c>
      <c r="G60" s="9" t="s">
        <v>98</v>
      </c>
      <c r="H60" s="25">
        <f t="shared" si="0"/>
        <v>365585</v>
      </c>
    </row>
    <row r="61" spans="2:8" ht="60" customHeight="1">
      <c r="B61" s="310"/>
      <c r="C61" s="28" t="s">
        <v>169</v>
      </c>
      <c r="D61" s="3" t="s">
        <v>170</v>
      </c>
      <c r="E61" s="5" t="s">
        <v>91</v>
      </c>
      <c r="F61" s="6">
        <v>58</v>
      </c>
      <c r="G61" s="7">
        <v>106950</v>
      </c>
      <c r="H61" s="25">
        <f t="shared" si="0"/>
        <v>90907.5</v>
      </c>
    </row>
    <row r="62" spans="2:8" ht="60" customHeight="1">
      <c r="B62" s="310"/>
      <c r="C62" s="28" t="s">
        <v>171</v>
      </c>
      <c r="D62" s="2" t="s">
        <v>116</v>
      </c>
      <c r="E62" s="5" t="s">
        <v>91</v>
      </c>
      <c r="F62" s="6">
        <v>59</v>
      </c>
      <c r="G62" s="7">
        <v>115000</v>
      </c>
      <c r="H62" s="25">
        <f t="shared" si="0"/>
        <v>97750</v>
      </c>
    </row>
    <row r="63" spans="2:8" ht="60" customHeight="1">
      <c r="B63" s="310"/>
      <c r="C63" s="28" t="s">
        <v>172</v>
      </c>
      <c r="D63" s="3" t="s">
        <v>173</v>
      </c>
      <c r="E63" s="5" t="s">
        <v>91</v>
      </c>
      <c r="F63" s="6">
        <v>60</v>
      </c>
      <c r="G63" s="7">
        <v>287334.06593406602</v>
      </c>
      <c r="H63" s="25">
        <f t="shared" si="0"/>
        <v>244233.9560439561</v>
      </c>
    </row>
    <row r="64" spans="2:8" ht="38.25" customHeight="1">
      <c r="B64" s="310"/>
      <c r="C64" s="28" t="s">
        <v>174</v>
      </c>
      <c r="D64" s="3" t="s">
        <v>175</v>
      </c>
      <c r="E64" s="5" t="s">
        <v>91</v>
      </c>
      <c r="F64" s="6">
        <v>61</v>
      </c>
      <c r="G64" s="9">
        <v>120750</v>
      </c>
      <c r="H64" s="25">
        <f t="shared" si="0"/>
        <v>102637.5</v>
      </c>
    </row>
    <row r="65" spans="2:8" ht="38.25" customHeight="1">
      <c r="B65" s="310"/>
      <c r="C65" s="28" t="s">
        <v>176</v>
      </c>
      <c r="D65" s="3" t="s">
        <v>175</v>
      </c>
      <c r="E65" s="5" t="s">
        <v>91</v>
      </c>
      <c r="F65" s="6">
        <v>62</v>
      </c>
      <c r="G65" s="9">
        <v>172500</v>
      </c>
      <c r="H65" s="25">
        <f t="shared" si="0"/>
        <v>146625</v>
      </c>
    </row>
    <row r="66" spans="2:8" ht="60" customHeight="1">
      <c r="B66" s="310"/>
      <c r="C66" s="28" t="s">
        <v>177</v>
      </c>
      <c r="D66" s="3" t="s">
        <v>175</v>
      </c>
      <c r="E66" s="5" t="s">
        <v>91</v>
      </c>
      <c r="F66" s="6">
        <v>63</v>
      </c>
      <c r="G66" s="9">
        <v>286350</v>
      </c>
      <c r="H66" s="25">
        <f t="shared" si="0"/>
        <v>243397.5</v>
      </c>
    </row>
    <row r="67" spans="2:8" ht="51.75" customHeight="1">
      <c r="B67" s="310"/>
      <c r="C67" s="28" t="s">
        <v>178</v>
      </c>
      <c r="D67" s="3" t="s">
        <v>179</v>
      </c>
      <c r="E67" s="5" t="s">
        <v>91</v>
      </c>
      <c r="F67" s="6">
        <v>64</v>
      </c>
      <c r="G67" s="9">
        <v>180000</v>
      </c>
      <c r="H67" s="25">
        <f t="shared" si="0"/>
        <v>153000</v>
      </c>
    </row>
    <row r="68" spans="2:8" ht="43.5" customHeight="1">
      <c r="B68" s="310"/>
      <c r="C68" s="28" t="s">
        <v>180</v>
      </c>
      <c r="D68" s="3" t="s">
        <v>116</v>
      </c>
      <c r="E68" s="5" t="s">
        <v>91</v>
      </c>
      <c r="F68" s="6">
        <v>66</v>
      </c>
      <c r="G68" s="9" t="s">
        <v>147</v>
      </c>
      <c r="H68" s="25">
        <f t="shared" si="0"/>
        <v>146625</v>
      </c>
    </row>
    <row r="69" spans="2:8" ht="60" customHeight="1">
      <c r="B69" s="310"/>
      <c r="C69" s="28" t="s">
        <v>181</v>
      </c>
      <c r="D69" s="3" t="s">
        <v>182</v>
      </c>
      <c r="E69" s="5" t="s">
        <v>91</v>
      </c>
      <c r="F69" s="6">
        <v>67</v>
      </c>
      <c r="G69" s="9">
        <v>115000</v>
      </c>
      <c r="H69" s="25">
        <f t="shared" si="0"/>
        <v>97750</v>
      </c>
    </row>
    <row r="70" spans="2:8" ht="49.5" customHeight="1">
      <c r="B70" s="310"/>
      <c r="C70" s="28" t="s">
        <v>183</v>
      </c>
      <c r="D70" s="3" t="s">
        <v>184</v>
      </c>
      <c r="E70" s="5" t="s">
        <v>91</v>
      </c>
      <c r="F70" s="6">
        <v>68</v>
      </c>
      <c r="G70" s="9" t="s">
        <v>147</v>
      </c>
      <c r="H70" s="25">
        <f t="shared" si="0"/>
        <v>146625</v>
      </c>
    </row>
    <row r="71" spans="2:8" ht="64.5" customHeight="1">
      <c r="B71" s="310"/>
      <c r="C71" s="28" t="s">
        <v>185</v>
      </c>
      <c r="D71" s="3" t="s">
        <v>186</v>
      </c>
      <c r="E71" s="5" t="s">
        <v>91</v>
      </c>
      <c r="F71" s="6">
        <v>69</v>
      </c>
      <c r="G71" s="9">
        <v>135000</v>
      </c>
      <c r="H71" s="25">
        <f t="shared" si="0"/>
        <v>114750</v>
      </c>
    </row>
    <row r="72" spans="2:8" ht="73.5" customHeight="1">
      <c r="B72" s="310"/>
      <c r="C72" s="28" t="s">
        <v>187</v>
      </c>
      <c r="D72" s="3" t="s">
        <v>188</v>
      </c>
      <c r="E72" s="5" t="s">
        <v>91</v>
      </c>
      <c r="F72" s="6">
        <v>70</v>
      </c>
      <c r="G72" s="9">
        <v>458000</v>
      </c>
      <c r="H72" s="25">
        <f t="shared" si="0"/>
        <v>389300</v>
      </c>
    </row>
    <row r="73" spans="2:8" ht="46.5" customHeight="1">
      <c r="B73" s="310"/>
      <c r="C73" s="28" t="s">
        <v>189</v>
      </c>
      <c r="D73" s="3" t="s">
        <v>190</v>
      </c>
      <c r="E73" s="5" t="s">
        <v>91</v>
      </c>
      <c r="F73" s="6">
        <v>72</v>
      </c>
      <c r="G73" s="9">
        <v>195000</v>
      </c>
      <c r="H73" s="25">
        <f t="shared" ref="H73:H104" si="1">G73-(G73*0.15)</f>
        <v>165750</v>
      </c>
    </row>
    <row r="74" spans="2:8" ht="81.75" customHeight="1">
      <c r="B74" s="310"/>
      <c r="C74" s="28" t="s">
        <v>191</v>
      </c>
      <c r="D74" s="3" t="s">
        <v>192</v>
      </c>
      <c r="E74" s="5" t="s">
        <v>91</v>
      </c>
      <c r="F74" s="6">
        <v>73</v>
      </c>
      <c r="G74" s="7">
        <v>256000</v>
      </c>
      <c r="H74" s="25">
        <f t="shared" si="1"/>
        <v>217600</v>
      </c>
    </row>
    <row r="75" spans="2:8" ht="60" customHeight="1">
      <c r="B75" s="310"/>
      <c r="C75" s="28" t="s">
        <v>193</v>
      </c>
      <c r="D75" s="3" t="s">
        <v>194</v>
      </c>
      <c r="E75" s="5" t="s">
        <v>91</v>
      </c>
      <c r="F75" s="6">
        <v>77</v>
      </c>
      <c r="G75" s="7">
        <v>180000</v>
      </c>
      <c r="H75" s="25">
        <f t="shared" si="1"/>
        <v>153000</v>
      </c>
    </row>
    <row r="76" spans="2:8" ht="66" customHeight="1">
      <c r="B76" s="310"/>
      <c r="C76" s="28" t="s">
        <v>195</v>
      </c>
      <c r="D76" s="3" t="s">
        <v>196</v>
      </c>
      <c r="E76" s="5" t="s">
        <v>91</v>
      </c>
      <c r="F76" s="6">
        <v>78</v>
      </c>
      <c r="G76" s="7">
        <v>220000</v>
      </c>
      <c r="H76" s="25">
        <f t="shared" si="1"/>
        <v>187000</v>
      </c>
    </row>
    <row r="77" spans="2:8" ht="60" customHeight="1">
      <c r="B77" s="310"/>
      <c r="C77" s="28" t="s">
        <v>197</v>
      </c>
      <c r="D77" s="3" t="s">
        <v>198</v>
      </c>
      <c r="E77" s="5" t="s">
        <v>91</v>
      </c>
      <c r="F77" s="6">
        <v>79</v>
      </c>
      <c r="G77" s="7">
        <v>85000</v>
      </c>
      <c r="H77" s="25">
        <f t="shared" si="1"/>
        <v>72250</v>
      </c>
    </row>
    <row r="78" spans="2:8" ht="60" customHeight="1">
      <c r="B78" s="310"/>
      <c r="C78" s="28" t="s">
        <v>199</v>
      </c>
      <c r="D78" s="3" t="s">
        <v>200</v>
      </c>
      <c r="E78" s="5" t="s">
        <v>91</v>
      </c>
      <c r="F78" s="6">
        <v>81</v>
      </c>
      <c r="G78" s="7">
        <v>220000</v>
      </c>
      <c r="H78" s="25">
        <f t="shared" si="1"/>
        <v>187000</v>
      </c>
    </row>
    <row r="79" spans="2:8" ht="105" customHeight="1">
      <c r="B79" s="310"/>
      <c r="C79" s="28" t="s">
        <v>201</v>
      </c>
      <c r="D79" s="3" t="s">
        <v>202</v>
      </c>
      <c r="E79" s="5" t="s">
        <v>163</v>
      </c>
      <c r="F79" s="6">
        <v>82</v>
      </c>
      <c r="G79" s="7">
        <v>339892.30769230798</v>
      </c>
      <c r="H79" s="25">
        <f t="shared" si="1"/>
        <v>288908.46153846179</v>
      </c>
    </row>
    <row r="80" spans="2:8" ht="60" customHeight="1">
      <c r="B80" s="310"/>
      <c r="C80" s="28" t="s">
        <v>203</v>
      </c>
      <c r="D80" s="3" t="s">
        <v>204</v>
      </c>
      <c r="E80" s="5" t="s">
        <v>91</v>
      </c>
      <c r="F80" s="6">
        <v>83</v>
      </c>
      <c r="G80" s="7">
        <v>172500</v>
      </c>
      <c r="H80" s="25">
        <f t="shared" si="1"/>
        <v>146625</v>
      </c>
    </row>
    <row r="81" spans="2:8" ht="60" customHeight="1">
      <c r="B81" s="310"/>
      <c r="C81" s="28" t="s">
        <v>205</v>
      </c>
      <c r="D81" s="3" t="s">
        <v>149</v>
      </c>
      <c r="E81" s="5" t="s">
        <v>91</v>
      </c>
      <c r="F81" s="6">
        <v>84</v>
      </c>
      <c r="G81" s="7">
        <v>120000</v>
      </c>
      <c r="H81" s="25">
        <f t="shared" si="1"/>
        <v>102000</v>
      </c>
    </row>
    <row r="82" spans="2:8" ht="60" customHeight="1">
      <c r="B82" s="310"/>
      <c r="C82" s="28" t="s">
        <v>206</v>
      </c>
      <c r="D82" s="3" t="s">
        <v>207</v>
      </c>
      <c r="E82" s="5" t="s">
        <v>91</v>
      </c>
      <c r="F82" s="6">
        <v>85</v>
      </c>
      <c r="G82" s="9">
        <v>90000</v>
      </c>
      <c r="H82" s="25">
        <f t="shared" si="1"/>
        <v>76500</v>
      </c>
    </row>
    <row r="83" spans="2:8" ht="60" customHeight="1">
      <c r="B83" s="310"/>
      <c r="C83" s="28" t="s">
        <v>208</v>
      </c>
      <c r="D83" s="3" t="s">
        <v>93</v>
      </c>
      <c r="E83" s="5" t="s">
        <v>91</v>
      </c>
      <c r="F83" s="6">
        <v>86</v>
      </c>
      <c r="G83" s="9">
        <v>350000</v>
      </c>
      <c r="H83" s="25">
        <f t="shared" si="1"/>
        <v>297500</v>
      </c>
    </row>
    <row r="84" spans="2:8" ht="60" customHeight="1">
      <c r="B84" s="310"/>
      <c r="C84" s="28" t="s">
        <v>209</v>
      </c>
      <c r="D84" s="3" t="s">
        <v>93</v>
      </c>
      <c r="E84" s="5" t="s">
        <v>91</v>
      </c>
      <c r="F84" s="6">
        <v>89</v>
      </c>
      <c r="G84" s="9" t="s">
        <v>98</v>
      </c>
      <c r="H84" s="25">
        <f t="shared" si="1"/>
        <v>365585</v>
      </c>
    </row>
    <row r="85" spans="2:8" ht="60" customHeight="1">
      <c r="B85" s="310"/>
      <c r="C85" s="28" t="s">
        <v>210</v>
      </c>
      <c r="D85" s="3" t="s">
        <v>93</v>
      </c>
      <c r="E85" s="5" t="s">
        <v>91</v>
      </c>
      <c r="F85" s="6">
        <v>90</v>
      </c>
      <c r="G85" s="9">
        <v>350000</v>
      </c>
      <c r="H85" s="25">
        <f t="shared" si="1"/>
        <v>297500</v>
      </c>
    </row>
    <row r="86" spans="2:8" ht="60" customHeight="1">
      <c r="B86" s="310"/>
      <c r="C86" s="28" t="s">
        <v>211</v>
      </c>
      <c r="D86" s="3" t="s">
        <v>212</v>
      </c>
      <c r="E86" s="5" t="s">
        <v>91</v>
      </c>
      <c r="F86" s="6">
        <v>91</v>
      </c>
      <c r="G86" s="9">
        <v>115000</v>
      </c>
      <c r="H86" s="25">
        <f t="shared" si="1"/>
        <v>97750</v>
      </c>
    </row>
    <row r="87" spans="2:8" ht="60" customHeight="1">
      <c r="B87" s="310"/>
      <c r="C87" s="28" t="s">
        <v>213</v>
      </c>
      <c r="D87" s="3" t="s">
        <v>214</v>
      </c>
      <c r="E87" s="5" t="s">
        <v>91</v>
      </c>
      <c r="F87" s="6">
        <v>92</v>
      </c>
      <c r="G87" s="9">
        <v>180000</v>
      </c>
      <c r="H87" s="25">
        <f t="shared" si="1"/>
        <v>153000</v>
      </c>
    </row>
    <row r="88" spans="2:8" ht="60" customHeight="1">
      <c r="B88" s="310"/>
      <c r="C88" s="28" t="s">
        <v>215</v>
      </c>
      <c r="D88" s="3" t="s">
        <v>216</v>
      </c>
      <c r="E88" s="5" t="s">
        <v>91</v>
      </c>
      <c r="F88" s="6">
        <v>93</v>
      </c>
      <c r="G88" s="9">
        <v>190000</v>
      </c>
      <c r="H88" s="25">
        <f t="shared" si="1"/>
        <v>161500</v>
      </c>
    </row>
    <row r="89" spans="2:8" ht="60" customHeight="1">
      <c r="B89" s="310"/>
      <c r="C89" s="28" t="s">
        <v>217</v>
      </c>
      <c r="D89" s="2" t="s">
        <v>149</v>
      </c>
      <c r="E89" s="5" t="s">
        <v>91</v>
      </c>
      <c r="F89" s="6">
        <v>94</v>
      </c>
      <c r="G89" s="9">
        <v>106953</v>
      </c>
      <c r="H89" s="25">
        <f t="shared" si="1"/>
        <v>90910.05</v>
      </c>
    </row>
    <row r="90" spans="2:8" ht="60" customHeight="1">
      <c r="B90" s="310"/>
      <c r="C90" s="28" t="s">
        <v>218</v>
      </c>
      <c r="D90" s="3" t="s">
        <v>219</v>
      </c>
      <c r="E90" s="5" t="s">
        <v>91</v>
      </c>
      <c r="F90" s="6">
        <v>95</v>
      </c>
      <c r="G90" s="9">
        <v>215050</v>
      </c>
      <c r="H90" s="25">
        <f t="shared" si="1"/>
        <v>182792.5</v>
      </c>
    </row>
    <row r="91" spans="2:8" ht="60" customHeight="1">
      <c r="B91" s="310"/>
      <c r="C91" s="28" t="s">
        <v>220</v>
      </c>
      <c r="D91" s="3" t="s">
        <v>221</v>
      </c>
      <c r="E91" s="5" t="s">
        <v>91</v>
      </c>
      <c r="F91" s="6">
        <v>96</v>
      </c>
      <c r="G91" s="9">
        <v>125000</v>
      </c>
      <c r="H91" s="25">
        <f t="shared" si="1"/>
        <v>106250</v>
      </c>
    </row>
    <row r="92" spans="2:8" ht="60" customHeight="1">
      <c r="B92" s="310"/>
      <c r="C92" s="28" t="s">
        <v>222</v>
      </c>
      <c r="D92" s="3" t="s">
        <v>223</v>
      </c>
      <c r="E92" s="5" t="s">
        <v>91</v>
      </c>
      <c r="F92" s="6">
        <v>97</v>
      </c>
      <c r="G92" s="7">
        <v>80000</v>
      </c>
      <c r="H92" s="25">
        <f t="shared" si="1"/>
        <v>68000</v>
      </c>
    </row>
    <row r="93" spans="2:8" ht="60" customHeight="1">
      <c r="B93" s="310"/>
      <c r="C93" s="28" t="s">
        <v>224</v>
      </c>
      <c r="D93" s="2" t="s">
        <v>225</v>
      </c>
      <c r="E93" s="5" t="s">
        <v>91</v>
      </c>
      <c r="F93" s="6">
        <v>98</v>
      </c>
      <c r="G93" s="7">
        <v>190000</v>
      </c>
      <c r="H93" s="25">
        <f t="shared" si="1"/>
        <v>161500</v>
      </c>
    </row>
    <row r="94" spans="2:8" ht="60" customHeight="1">
      <c r="B94" s="310"/>
      <c r="C94" s="28" t="s">
        <v>226</v>
      </c>
      <c r="D94" s="3" t="s">
        <v>227</v>
      </c>
      <c r="E94" s="5" t="s">
        <v>91</v>
      </c>
      <c r="F94" s="6">
        <v>99</v>
      </c>
      <c r="G94" s="7">
        <v>195000</v>
      </c>
      <c r="H94" s="25">
        <f t="shared" si="1"/>
        <v>165750</v>
      </c>
    </row>
    <row r="95" spans="2:8" ht="60" customHeight="1">
      <c r="B95" s="310"/>
      <c r="C95" s="28" t="s">
        <v>228</v>
      </c>
      <c r="D95" s="3" t="s">
        <v>100</v>
      </c>
      <c r="E95" s="5" t="s">
        <v>91</v>
      </c>
      <c r="F95" s="6">
        <v>101</v>
      </c>
      <c r="G95" s="7">
        <v>115000</v>
      </c>
      <c r="H95" s="25">
        <f t="shared" si="1"/>
        <v>97750</v>
      </c>
    </row>
    <row r="96" spans="2:8" ht="60" customHeight="1">
      <c r="B96" s="310"/>
      <c r="C96" s="28" t="s">
        <v>229</v>
      </c>
      <c r="D96" s="3" t="s">
        <v>230</v>
      </c>
      <c r="E96" s="5" t="s">
        <v>163</v>
      </c>
      <c r="F96" s="6">
        <v>102</v>
      </c>
      <c r="G96" s="7">
        <v>382894.50549450598</v>
      </c>
      <c r="H96" s="25">
        <f t="shared" si="1"/>
        <v>325460.3296703301</v>
      </c>
    </row>
    <row r="97" spans="2:8" ht="39.950000000000003" customHeight="1">
      <c r="B97" s="310"/>
      <c r="C97" s="28" t="s">
        <v>231</v>
      </c>
      <c r="D97" s="3" t="s">
        <v>149</v>
      </c>
      <c r="E97" s="5" t="s">
        <v>91</v>
      </c>
      <c r="F97" s="6">
        <v>104</v>
      </c>
      <c r="G97" s="7">
        <v>149500</v>
      </c>
      <c r="H97" s="25">
        <f t="shared" si="1"/>
        <v>127075</v>
      </c>
    </row>
    <row r="98" spans="2:8" ht="80.25" customHeight="1">
      <c r="B98" s="310"/>
      <c r="C98" s="28" t="s">
        <v>232</v>
      </c>
      <c r="D98" s="3" t="s">
        <v>106</v>
      </c>
      <c r="E98" s="5" t="s">
        <v>91</v>
      </c>
      <c r="F98" s="6">
        <v>105</v>
      </c>
      <c r="G98" s="7">
        <v>90000</v>
      </c>
      <c r="H98" s="25">
        <f t="shared" si="1"/>
        <v>76500</v>
      </c>
    </row>
    <row r="99" spans="2:8" ht="35.25" customHeight="1">
      <c r="B99" s="310"/>
      <c r="C99" s="28" t="s">
        <v>233</v>
      </c>
      <c r="D99" s="3" t="s">
        <v>85</v>
      </c>
      <c r="E99" s="5" t="s">
        <v>91</v>
      </c>
      <c r="F99" s="6">
        <v>106</v>
      </c>
      <c r="G99" s="7">
        <v>402006.59340659401</v>
      </c>
      <c r="H99" s="25">
        <f t="shared" si="1"/>
        <v>341705.60439560493</v>
      </c>
    </row>
    <row r="100" spans="2:8" ht="28.5" customHeight="1">
      <c r="B100" s="310"/>
      <c r="C100" s="28" t="s">
        <v>234</v>
      </c>
      <c r="D100" s="3" t="s">
        <v>235</v>
      </c>
      <c r="E100" s="5" t="s">
        <v>91</v>
      </c>
      <c r="F100" s="6">
        <v>108</v>
      </c>
      <c r="G100" s="7">
        <v>411562.63736263802</v>
      </c>
      <c r="H100" s="25">
        <f t="shared" si="1"/>
        <v>349828.24175824231</v>
      </c>
    </row>
    <row r="101" spans="2:8" ht="28.5" customHeight="1">
      <c r="B101" s="310"/>
      <c r="C101" s="28" t="s">
        <v>236</v>
      </c>
      <c r="D101" s="3" t="s">
        <v>116</v>
      </c>
      <c r="E101" s="5" t="s">
        <v>91</v>
      </c>
      <c r="F101" s="6">
        <v>109</v>
      </c>
      <c r="G101" s="9">
        <v>138000</v>
      </c>
      <c r="H101" s="25">
        <f t="shared" si="1"/>
        <v>117300</v>
      </c>
    </row>
    <row r="102" spans="2:8" ht="25.5" customHeight="1">
      <c r="B102" s="310"/>
      <c r="C102" s="28" t="s">
        <v>237</v>
      </c>
      <c r="D102" s="3" t="s">
        <v>238</v>
      </c>
      <c r="E102" s="5" t="s">
        <v>91</v>
      </c>
      <c r="F102" s="6">
        <v>110</v>
      </c>
      <c r="G102" s="9">
        <v>80000</v>
      </c>
      <c r="H102" s="25">
        <f t="shared" si="1"/>
        <v>68000</v>
      </c>
    </row>
    <row r="103" spans="2:8" ht="36.75" customHeight="1">
      <c r="B103" s="310"/>
      <c r="C103" s="28" t="s">
        <v>239</v>
      </c>
      <c r="D103" s="3" t="s">
        <v>238</v>
      </c>
      <c r="E103" s="5" t="s">
        <v>91</v>
      </c>
      <c r="F103" s="6">
        <v>111</v>
      </c>
      <c r="G103" s="9">
        <v>80000</v>
      </c>
      <c r="H103" s="25">
        <f t="shared" si="1"/>
        <v>68000</v>
      </c>
    </row>
    <row r="104" spans="2:8" ht="35.25" customHeight="1">
      <c r="B104" s="310"/>
      <c r="C104" s="28" t="s">
        <v>240</v>
      </c>
      <c r="D104" s="3" t="s">
        <v>241</v>
      </c>
      <c r="E104" s="5" t="s">
        <v>91</v>
      </c>
      <c r="F104" s="6">
        <v>112</v>
      </c>
      <c r="G104" s="9">
        <v>115000</v>
      </c>
      <c r="H104" s="25">
        <f t="shared" si="1"/>
        <v>97750</v>
      </c>
    </row>
    <row r="105" spans="2:8" ht="31.5" customHeight="1">
      <c r="B105" s="311"/>
      <c r="C105" s="28" t="s">
        <v>242</v>
      </c>
      <c r="D105" s="3" t="s">
        <v>243</v>
      </c>
      <c r="E105" s="5" t="s">
        <v>91</v>
      </c>
      <c r="F105" s="6">
        <v>114</v>
      </c>
      <c r="G105" s="9">
        <v>380000</v>
      </c>
      <c r="H105" s="25">
        <f>G105-(G105*0.15)</f>
        <v>323000</v>
      </c>
    </row>
    <row r="106" spans="2:8" ht="37.5" customHeight="1" thickBot="1">
      <c r="B106" s="312"/>
      <c r="C106" s="38"/>
      <c r="D106" s="38"/>
      <c r="E106" s="38"/>
      <c r="F106" s="38"/>
      <c r="G106" s="38"/>
      <c r="H106" s="39"/>
    </row>
    <row r="107" spans="2:8" customFormat="1" ht="36" customHeight="1"/>
    <row r="108" spans="2:8" customFormat="1" ht="15.75" customHeight="1"/>
    <row r="109" spans="2:8" customFormat="1" ht="15.75" customHeight="1"/>
    <row r="110" spans="2:8" customFormat="1" ht="15.75" customHeight="1"/>
    <row r="111" spans="2:8" customFormat="1" ht="15.75" customHeight="1"/>
    <row r="112" spans="2:8"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spans="5:5" customFormat="1" ht="15.75" customHeight="1"/>
    <row r="178" spans="5:5" customFormat="1" ht="15.75" customHeight="1"/>
    <row r="179" spans="5:5" customFormat="1" ht="15.75" customHeight="1"/>
    <row r="180" spans="5:5" customFormat="1" ht="15.75" customHeight="1"/>
    <row r="181" spans="5:5" customFormat="1" ht="15.75" customHeight="1"/>
    <row r="182" spans="5:5" customFormat="1" ht="15.75" customHeight="1"/>
    <row r="183" spans="5:5" customFormat="1" ht="15.75" customHeight="1"/>
    <row r="184" spans="5:5" customFormat="1" ht="15.75" customHeight="1"/>
    <row r="185" spans="5:5" customFormat="1" ht="15.75" customHeight="1"/>
    <row r="186" spans="5:5" customFormat="1" ht="15.75" customHeight="1"/>
    <row r="187" spans="5:5" customFormat="1" ht="15.75" customHeight="1"/>
    <row r="188" spans="5:5" customFormat="1" ht="15.75" customHeight="1"/>
    <row r="189" spans="5:5" ht="15.75" customHeight="1">
      <c r="E189" s="4"/>
    </row>
    <row r="190" spans="5:5" ht="15.75" customHeight="1">
      <c r="E190" s="4"/>
    </row>
    <row r="191" spans="5:5" ht="15.75" customHeight="1">
      <c r="E191" s="4"/>
    </row>
    <row r="192" spans="5:5" ht="15.75" customHeight="1">
      <c r="E192" s="4"/>
    </row>
    <row r="193" spans="5:5" ht="15.75" customHeight="1">
      <c r="E193" s="4"/>
    </row>
    <row r="194" spans="5:5" ht="15.75" customHeight="1">
      <c r="E194" s="4"/>
    </row>
    <row r="195" spans="5:5" ht="15.75" customHeight="1">
      <c r="E195" s="4"/>
    </row>
    <row r="196" spans="5:5" ht="15.75" customHeight="1">
      <c r="E196" s="4"/>
    </row>
    <row r="197" spans="5:5" ht="15.75" customHeight="1">
      <c r="E197" s="4"/>
    </row>
    <row r="198" spans="5:5" ht="15.75" customHeight="1">
      <c r="E198" s="4"/>
    </row>
    <row r="199" spans="5:5" ht="15.75" customHeight="1">
      <c r="E199" s="4"/>
    </row>
    <row r="200" spans="5:5" ht="15.75" customHeight="1">
      <c r="E200" s="4"/>
    </row>
    <row r="201" spans="5:5" ht="15.75" customHeight="1">
      <c r="E201" s="4"/>
    </row>
    <row r="202" spans="5:5" ht="15.75" customHeight="1">
      <c r="E202" s="4"/>
    </row>
    <row r="203" spans="5:5" ht="15.75" customHeight="1">
      <c r="E203" s="4"/>
    </row>
    <row r="204" spans="5:5" ht="15.75" customHeight="1">
      <c r="E204" s="4"/>
    </row>
    <row r="205" spans="5:5" ht="15.75" customHeight="1">
      <c r="E205" s="4"/>
    </row>
    <row r="206" spans="5:5" ht="15.75" customHeight="1">
      <c r="E206" s="4"/>
    </row>
    <row r="207" spans="5:5" ht="15.75" customHeight="1">
      <c r="E207" s="4"/>
    </row>
    <row r="208" spans="5:5" ht="15.75" customHeight="1">
      <c r="E208" s="4"/>
    </row>
    <row r="209" spans="5:5" ht="15.75" customHeight="1">
      <c r="E209" s="4"/>
    </row>
    <row r="210" spans="5:5" ht="15.75" customHeight="1">
      <c r="E210" s="4"/>
    </row>
    <row r="211" spans="5:5" ht="15.75" customHeight="1">
      <c r="E211" s="4"/>
    </row>
    <row r="212" spans="5:5" ht="15.75" customHeight="1">
      <c r="E212" s="4"/>
    </row>
    <row r="213" spans="5:5" ht="15.75" customHeight="1">
      <c r="E213" s="4"/>
    </row>
    <row r="214" spans="5:5" ht="15.75" customHeight="1">
      <c r="E214" s="4"/>
    </row>
    <row r="215" spans="5:5" ht="15.75" customHeight="1">
      <c r="E215" s="4"/>
    </row>
    <row r="216" spans="5:5" ht="15.75" customHeight="1">
      <c r="E216" s="4"/>
    </row>
    <row r="217" spans="5:5" ht="15.75" customHeight="1">
      <c r="E217" s="4"/>
    </row>
    <row r="218" spans="5:5" ht="15.75" customHeight="1">
      <c r="E218" s="4"/>
    </row>
    <row r="219" spans="5:5" ht="15.75" customHeight="1">
      <c r="E219" s="4"/>
    </row>
    <row r="220" spans="5:5" ht="15.75" customHeight="1">
      <c r="E220" s="4"/>
    </row>
    <row r="221" spans="5:5" ht="15.75" customHeight="1">
      <c r="E221" s="4"/>
    </row>
    <row r="222" spans="5:5" ht="15.75" customHeight="1">
      <c r="E222" s="4"/>
    </row>
    <row r="223" spans="5:5" ht="15.75" customHeight="1">
      <c r="E223" s="4"/>
    </row>
    <row r="224" spans="5:5" ht="15.75" customHeight="1">
      <c r="E224" s="4"/>
    </row>
    <row r="225" spans="5:5" ht="15.75" customHeight="1">
      <c r="E225" s="4"/>
    </row>
    <row r="226" spans="5:5" ht="15.75" customHeight="1">
      <c r="E226" s="4"/>
    </row>
    <row r="227" spans="5:5" ht="15.75" customHeight="1">
      <c r="E227" s="4"/>
    </row>
    <row r="228" spans="5:5" ht="15.75" customHeight="1">
      <c r="E228" s="4"/>
    </row>
    <row r="229" spans="5:5" ht="15.75" customHeight="1">
      <c r="E229" s="4"/>
    </row>
    <row r="230" spans="5:5" ht="15.75" customHeight="1">
      <c r="E230" s="4"/>
    </row>
    <row r="231" spans="5:5" ht="15.75" customHeight="1">
      <c r="E231" s="4"/>
    </row>
    <row r="232" spans="5:5" ht="15.75" customHeight="1">
      <c r="E232" s="4"/>
    </row>
    <row r="233" spans="5:5" ht="15.75" customHeight="1">
      <c r="E233" s="4"/>
    </row>
    <row r="234" spans="5:5" ht="15.75" customHeight="1">
      <c r="E234" s="4"/>
    </row>
    <row r="235" spans="5:5" ht="15.75" customHeight="1">
      <c r="E235" s="4"/>
    </row>
    <row r="236" spans="5:5" ht="15.75" customHeight="1">
      <c r="E236" s="4"/>
    </row>
    <row r="237" spans="5:5" ht="15.75" customHeight="1">
      <c r="E237" s="4"/>
    </row>
    <row r="238" spans="5:5" ht="15.75" customHeight="1">
      <c r="E238" s="4"/>
    </row>
    <row r="239" spans="5:5" ht="15.75" customHeight="1">
      <c r="E239" s="4"/>
    </row>
    <row r="240" spans="5:5" ht="15.75" customHeight="1">
      <c r="E240" s="4"/>
    </row>
    <row r="241" spans="5:5" ht="15.75" customHeight="1">
      <c r="E241" s="4"/>
    </row>
    <row r="242" spans="5:5" ht="15.75" customHeight="1">
      <c r="E242" s="4"/>
    </row>
    <row r="243" spans="5:5" ht="15.75" customHeight="1">
      <c r="E243" s="4"/>
    </row>
    <row r="244" spans="5:5" ht="15.75" customHeight="1">
      <c r="E244" s="4"/>
    </row>
    <row r="245" spans="5:5" ht="15.75" customHeight="1">
      <c r="E245" s="4"/>
    </row>
    <row r="246" spans="5:5" ht="15.75" customHeight="1">
      <c r="E246" s="4"/>
    </row>
    <row r="247" spans="5:5" ht="15.75" customHeight="1">
      <c r="E247" s="4"/>
    </row>
    <row r="248" spans="5:5" ht="15.75" customHeight="1">
      <c r="E248" s="4"/>
    </row>
    <row r="249" spans="5:5" ht="15.75" customHeight="1">
      <c r="E249" s="4"/>
    </row>
    <row r="250" spans="5:5" ht="15.75" customHeight="1">
      <c r="E250" s="4"/>
    </row>
    <row r="251" spans="5:5" ht="15.75" customHeight="1">
      <c r="E251" s="4"/>
    </row>
    <row r="252" spans="5:5" ht="15.75" customHeight="1">
      <c r="E252" s="4"/>
    </row>
    <row r="253" spans="5:5" ht="15.75" customHeight="1">
      <c r="E253" s="4"/>
    </row>
    <row r="254" spans="5:5" ht="15.75" customHeight="1">
      <c r="E254" s="4"/>
    </row>
    <row r="255" spans="5:5" ht="15.75" customHeight="1">
      <c r="E255" s="4"/>
    </row>
    <row r="256" spans="5:5" ht="15.75" customHeight="1">
      <c r="E256" s="4"/>
    </row>
    <row r="257" spans="5:5" ht="15.75" customHeight="1">
      <c r="E257" s="4"/>
    </row>
    <row r="258" spans="5:5" ht="15.75" customHeight="1">
      <c r="E258" s="4"/>
    </row>
    <row r="259" spans="5:5" ht="15.75" customHeight="1">
      <c r="E259" s="4"/>
    </row>
    <row r="260" spans="5:5" ht="15.75" customHeight="1">
      <c r="E260" s="4"/>
    </row>
    <row r="261" spans="5:5" ht="15.75" customHeight="1">
      <c r="E261" s="4"/>
    </row>
    <row r="262" spans="5:5" ht="15.75" customHeight="1">
      <c r="E262" s="4"/>
    </row>
    <row r="263" spans="5:5" ht="15.75" customHeight="1">
      <c r="E263" s="4"/>
    </row>
    <row r="264" spans="5:5" ht="15.75" customHeight="1">
      <c r="E264" s="4"/>
    </row>
    <row r="265" spans="5:5" ht="15.75" customHeight="1">
      <c r="E265" s="4"/>
    </row>
    <row r="266" spans="5:5" ht="15.75" customHeight="1">
      <c r="E266" s="4"/>
    </row>
    <row r="267" spans="5:5" ht="15.75" customHeight="1">
      <c r="E267" s="4"/>
    </row>
    <row r="268" spans="5:5" ht="15.75" customHeight="1">
      <c r="E268" s="4"/>
    </row>
    <row r="269" spans="5:5" ht="15.75" customHeight="1">
      <c r="E269" s="4"/>
    </row>
    <row r="270" spans="5:5" ht="15.75" customHeight="1">
      <c r="E270" s="4"/>
    </row>
    <row r="271" spans="5:5" ht="15.75" customHeight="1">
      <c r="E271" s="4"/>
    </row>
    <row r="272" spans="5:5" ht="15.75" customHeight="1">
      <c r="E272" s="4"/>
    </row>
    <row r="273" spans="5:5" ht="15.75" customHeight="1">
      <c r="E273" s="4"/>
    </row>
    <row r="274" spans="5:5" ht="15.75" customHeight="1">
      <c r="E274" s="4"/>
    </row>
    <row r="275" spans="5:5" ht="15.75" customHeight="1">
      <c r="E275" s="4"/>
    </row>
    <row r="276" spans="5:5" ht="15.75" customHeight="1">
      <c r="E276" s="4"/>
    </row>
    <row r="277" spans="5:5" ht="15.75" customHeight="1">
      <c r="E277" s="4"/>
    </row>
    <row r="278" spans="5:5" ht="15.75" customHeight="1">
      <c r="E278" s="4"/>
    </row>
    <row r="279" spans="5:5" ht="15.75" customHeight="1">
      <c r="E279" s="4"/>
    </row>
    <row r="280" spans="5:5" ht="15.75" customHeight="1">
      <c r="E280" s="4"/>
    </row>
    <row r="281" spans="5:5" ht="15.75" customHeight="1">
      <c r="E281" s="4"/>
    </row>
    <row r="282" spans="5:5" ht="15.75" customHeight="1">
      <c r="E282" s="4"/>
    </row>
    <row r="283" spans="5:5" ht="15.75" customHeight="1">
      <c r="E283" s="4"/>
    </row>
    <row r="284" spans="5:5" ht="15.75" customHeight="1">
      <c r="E284" s="4"/>
    </row>
    <row r="285" spans="5:5" ht="15.75" customHeight="1">
      <c r="E285" s="4"/>
    </row>
    <row r="286" spans="5:5" ht="15.75" customHeight="1">
      <c r="E286" s="4"/>
    </row>
    <row r="287" spans="5:5" ht="15.75" customHeight="1">
      <c r="E287" s="4"/>
    </row>
    <row r="288" spans="5:5" ht="15.75" customHeight="1">
      <c r="E288" s="4"/>
    </row>
    <row r="289" spans="5:5" ht="15.75" customHeight="1">
      <c r="E289" s="4"/>
    </row>
    <row r="290" spans="5:5" ht="15.75" customHeight="1">
      <c r="E290" s="4"/>
    </row>
    <row r="291" spans="5:5" ht="15.75" customHeight="1">
      <c r="E291" s="4"/>
    </row>
    <row r="292" spans="5:5" ht="15.75" customHeight="1">
      <c r="E292" s="4"/>
    </row>
    <row r="293" spans="5:5" ht="15.75" customHeight="1">
      <c r="E293" s="4"/>
    </row>
    <row r="294" spans="5:5" ht="15.75" customHeight="1">
      <c r="E294" s="4"/>
    </row>
    <row r="295" spans="5:5" ht="15.75" customHeight="1">
      <c r="E295" s="4"/>
    </row>
    <row r="296" spans="5:5" ht="15.75" customHeight="1">
      <c r="E296" s="4"/>
    </row>
    <row r="297" spans="5:5" ht="15.75" customHeight="1">
      <c r="E297" s="4"/>
    </row>
    <row r="298" spans="5:5" ht="15.75" customHeight="1">
      <c r="E298" s="4"/>
    </row>
    <row r="299" spans="5:5" ht="15.75" customHeight="1">
      <c r="E299" s="4"/>
    </row>
    <row r="300" spans="5:5" ht="15.75" customHeight="1">
      <c r="E300" s="4"/>
    </row>
    <row r="301" spans="5:5" ht="15.75" customHeight="1">
      <c r="E301" s="4"/>
    </row>
    <row r="302" spans="5:5" ht="15.75" customHeight="1">
      <c r="E302" s="4"/>
    </row>
    <row r="303" spans="5:5" ht="15.75" customHeight="1">
      <c r="E303" s="4"/>
    </row>
    <row r="304" spans="5:5" ht="15.75" customHeight="1">
      <c r="E304" s="4"/>
    </row>
    <row r="305" spans="5:5" ht="15.75" customHeight="1">
      <c r="E305" s="4"/>
    </row>
    <row r="306" spans="5:5" ht="15.75" customHeight="1">
      <c r="E306" s="4"/>
    </row>
    <row r="307" spans="5:5" ht="15.75" customHeight="1">
      <c r="E307" s="4"/>
    </row>
    <row r="308" spans="5:5" ht="15.75" customHeight="1">
      <c r="E308" s="4"/>
    </row>
    <row r="309" spans="5:5" ht="15.75" customHeight="1">
      <c r="E309" s="4"/>
    </row>
    <row r="310" spans="5:5" ht="15.75" customHeight="1">
      <c r="E310" s="4"/>
    </row>
    <row r="311" spans="5:5" ht="15.75" customHeight="1">
      <c r="E311" s="4"/>
    </row>
    <row r="312" spans="5:5" ht="15.75" customHeight="1">
      <c r="E312" s="4"/>
    </row>
    <row r="313" spans="5:5" ht="15.75" customHeight="1">
      <c r="E313" s="4"/>
    </row>
    <row r="314" spans="5:5" ht="15.75" customHeight="1">
      <c r="E314" s="4"/>
    </row>
    <row r="315" spans="5:5" ht="15.75" customHeight="1">
      <c r="E315" s="4"/>
    </row>
    <row r="316" spans="5:5" ht="15.75" customHeight="1">
      <c r="E316" s="4"/>
    </row>
    <row r="317" spans="5:5" ht="15.75" customHeight="1">
      <c r="E317" s="4"/>
    </row>
    <row r="318" spans="5:5" ht="15.75" customHeight="1">
      <c r="E318" s="4"/>
    </row>
    <row r="319" spans="5:5" ht="15.75" customHeight="1">
      <c r="E319" s="4"/>
    </row>
    <row r="320" spans="5:5" ht="15.75" customHeight="1">
      <c r="E320" s="4"/>
    </row>
    <row r="321" spans="5:5" ht="15.75" customHeight="1">
      <c r="E321" s="4"/>
    </row>
    <row r="322" spans="5:5" ht="15.75" customHeight="1">
      <c r="E322" s="4"/>
    </row>
    <row r="323" spans="5:5" ht="15.75" customHeight="1">
      <c r="E323" s="4"/>
    </row>
    <row r="324" spans="5:5" ht="15.75" customHeight="1">
      <c r="E324" s="4"/>
    </row>
    <row r="325" spans="5:5" ht="15.75" customHeight="1">
      <c r="E325" s="4"/>
    </row>
    <row r="326" spans="5:5" ht="15.75" customHeight="1">
      <c r="E326" s="4"/>
    </row>
    <row r="327" spans="5:5" ht="15.75" customHeight="1">
      <c r="E327" s="4"/>
    </row>
    <row r="328" spans="5:5" ht="15.75" customHeight="1">
      <c r="E328" s="4"/>
    </row>
    <row r="329" spans="5:5" ht="15.75" customHeight="1">
      <c r="E329" s="4"/>
    </row>
    <row r="330" spans="5:5" ht="15.75" customHeight="1">
      <c r="E330" s="4"/>
    </row>
    <row r="331" spans="5:5" ht="15.75" customHeight="1">
      <c r="E331" s="4"/>
    </row>
    <row r="332" spans="5:5" ht="15.75" customHeight="1">
      <c r="E332" s="4"/>
    </row>
    <row r="333" spans="5:5" ht="15.75" customHeight="1">
      <c r="E333" s="4"/>
    </row>
    <row r="334" spans="5:5" ht="15.75" customHeight="1">
      <c r="E334" s="4"/>
    </row>
    <row r="335" spans="5:5" ht="15.75" customHeight="1">
      <c r="E335" s="4"/>
    </row>
    <row r="336" spans="5:5" ht="15.75" customHeight="1">
      <c r="E336" s="4"/>
    </row>
    <row r="337" spans="5:5" ht="15.75" customHeight="1">
      <c r="E337" s="4"/>
    </row>
    <row r="338" spans="5:5" ht="15.75" customHeight="1">
      <c r="E338" s="4"/>
    </row>
    <row r="339" spans="5:5" ht="15.75" customHeight="1">
      <c r="E339" s="4"/>
    </row>
    <row r="340" spans="5:5" ht="15.75" customHeight="1">
      <c r="E340" s="4"/>
    </row>
    <row r="341" spans="5:5" ht="15.75" customHeight="1">
      <c r="E341" s="4"/>
    </row>
    <row r="342" spans="5:5" ht="15.75" customHeight="1">
      <c r="E342" s="4"/>
    </row>
    <row r="343" spans="5:5" ht="15.75" customHeight="1">
      <c r="E343" s="4"/>
    </row>
    <row r="344" spans="5:5" ht="15.75" customHeight="1">
      <c r="E344" s="4"/>
    </row>
    <row r="345" spans="5:5" ht="15.75" customHeight="1">
      <c r="E345" s="4"/>
    </row>
    <row r="346" spans="5:5" ht="15.75" customHeight="1">
      <c r="E346" s="4"/>
    </row>
    <row r="347" spans="5:5" ht="15.75" customHeight="1">
      <c r="E347" s="4"/>
    </row>
    <row r="348" spans="5:5" ht="15.75" customHeight="1">
      <c r="E348" s="4"/>
    </row>
    <row r="349" spans="5:5" ht="15.75" customHeight="1">
      <c r="E349" s="4"/>
    </row>
    <row r="350" spans="5:5" ht="15.75" customHeight="1">
      <c r="E350" s="4"/>
    </row>
    <row r="351" spans="5:5" ht="15.75" customHeight="1">
      <c r="E351" s="4"/>
    </row>
    <row r="352" spans="5:5" ht="15.75" customHeight="1">
      <c r="E352" s="4"/>
    </row>
    <row r="353" spans="5:5" ht="15.75" customHeight="1">
      <c r="E353" s="4"/>
    </row>
    <row r="354" spans="5:5" ht="15.75" customHeight="1">
      <c r="E354" s="4"/>
    </row>
    <row r="355" spans="5:5" ht="15.75" customHeight="1">
      <c r="E355" s="4"/>
    </row>
    <row r="356" spans="5:5" ht="15.75" customHeight="1">
      <c r="E356" s="4"/>
    </row>
    <row r="357" spans="5:5" ht="15.75" customHeight="1">
      <c r="E357" s="4"/>
    </row>
    <row r="358" spans="5:5" ht="15.75" customHeight="1">
      <c r="E358" s="4"/>
    </row>
    <row r="359" spans="5:5" ht="15.75" customHeight="1">
      <c r="E359" s="4"/>
    </row>
    <row r="360" spans="5:5" ht="15.75" customHeight="1">
      <c r="E360" s="4"/>
    </row>
    <row r="361" spans="5:5" ht="15.75" customHeight="1">
      <c r="E361" s="4"/>
    </row>
    <row r="362" spans="5:5" ht="15.75" customHeight="1">
      <c r="E362" s="4"/>
    </row>
    <row r="363" spans="5:5" ht="15.75" customHeight="1">
      <c r="E363" s="4"/>
    </row>
    <row r="364" spans="5:5" ht="15.75" customHeight="1">
      <c r="E364" s="4"/>
    </row>
    <row r="365" spans="5:5" ht="15.75" customHeight="1">
      <c r="E365" s="4"/>
    </row>
    <row r="366" spans="5:5" ht="15.75" customHeight="1">
      <c r="E366" s="4"/>
    </row>
    <row r="367" spans="5:5" ht="15.75" customHeight="1">
      <c r="E367" s="4"/>
    </row>
    <row r="368" spans="5:5" ht="15.75" customHeight="1">
      <c r="E368" s="4"/>
    </row>
    <row r="369" spans="5:5" ht="15.75" customHeight="1">
      <c r="E369" s="4"/>
    </row>
    <row r="370" spans="5:5" ht="15.75" customHeight="1">
      <c r="E370" s="4"/>
    </row>
    <row r="371" spans="5:5" ht="15.75" customHeight="1">
      <c r="E371" s="4"/>
    </row>
    <row r="372" spans="5:5" ht="15.75" customHeight="1">
      <c r="E372" s="4"/>
    </row>
    <row r="373" spans="5:5" ht="15.75" customHeight="1">
      <c r="E373" s="4"/>
    </row>
    <row r="374" spans="5:5" ht="15.75" customHeight="1">
      <c r="E374" s="4"/>
    </row>
    <row r="375" spans="5:5" ht="15.75" customHeight="1">
      <c r="E375" s="4"/>
    </row>
    <row r="376" spans="5:5" ht="15.75" customHeight="1">
      <c r="E376" s="4"/>
    </row>
    <row r="377" spans="5:5" ht="15.75" customHeight="1">
      <c r="E377" s="4"/>
    </row>
    <row r="378" spans="5:5" ht="15.75" customHeight="1">
      <c r="E378" s="4"/>
    </row>
    <row r="379" spans="5:5" ht="15.75" customHeight="1">
      <c r="E379" s="4"/>
    </row>
    <row r="380" spans="5:5" ht="15.75" customHeight="1">
      <c r="E380" s="4"/>
    </row>
    <row r="381" spans="5:5" ht="15.75" customHeight="1">
      <c r="E381" s="4"/>
    </row>
    <row r="382" spans="5:5" ht="15.75" customHeight="1">
      <c r="E382" s="4"/>
    </row>
    <row r="383" spans="5:5" ht="15.75" customHeight="1">
      <c r="E383" s="4"/>
    </row>
    <row r="384" spans="5:5" ht="15.75" customHeight="1">
      <c r="E384" s="4"/>
    </row>
    <row r="385" spans="5:5" ht="15.75" customHeight="1">
      <c r="E385" s="4"/>
    </row>
    <row r="386" spans="5:5" ht="15.75" customHeight="1">
      <c r="E386" s="4"/>
    </row>
    <row r="387" spans="5:5" ht="15.75" customHeight="1">
      <c r="E387" s="4"/>
    </row>
    <row r="388" spans="5:5" ht="15.75" customHeight="1">
      <c r="E388" s="4"/>
    </row>
    <row r="389" spans="5:5" ht="15.75" customHeight="1">
      <c r="E389" s="4"/>
    </row>
    <row r="390" spans="5:5" ht="15.75" customHeight="1">
      <c r="E390" s="4"/>
    </row>
    <row r="391" spans="5:5" ht="15.75" customHeight="1">
      <c r="E391" s="4"/>
    </row>
    <row r="392" spans="5:5" ht="15.75" customHeight="1">
      <c r="E392" s="4"/>
    </row>
    <row r="393" spans="5:5" ht="15.75" customHeight="1">
      <c r="E393" s="4"/>
    </row>
    <row r="394" spans="5:5" ht="15.75" customHeight="1">
      <c r="E394" s="4"/>
    </row>
    <row r="395" spans="5:5" ht="15.75" customHeight="1">
      <c r="E395" s="4"/>
    </row>
    <row r="396" spans="5:5" ht="15.75" customHeight="1">
      <c r="E396" s="4"/>
    </row>
    <row r="397" spans="5:5" ht="15.75" customHeight="1">
      <c r="E397" s="4"/>
    </row>
    <row r="398" spans="5:5" ht="15.75" customHeight="1">
      <c r="E398" s="4"/>
    </row>
    <row r="399" spans="5:5" ht="15.75" customHeight="1">
      <c r="E399" s="4"/>
    </row>
    <row r="400" spans="5:5" ht="15.75" customHeight="1">
      <c r="E400" s="4"/>
    </row>
    <row r="401" spans="5:5" ht="15.75" customHeight="1">
      <c r="E401" s="4"/>
    </row>
    <row r="402" spans="5:5" ht="15.75" customHeight="1">
      <c r="E402" s="4"/>
    </row>
    <row r="403" spans="5:5" ht="15.75" customHeight="1">
      <c r="E403" s="4"/>
    </row>
    <row r="404" spans="5:5" ht="15.75" customHeight="1">
      <c r="E404" s="4"/>
    </row>
    <row r="405" spans="5:5" ht="15.75" customHeight="1">
      <c r="E405" s="4"/>
    </row>
    <row r="406" spans="5:5" ht="15.75" customHeight="1">
      <c r="E406" s="4"/>
    </row>
    <row r="407" spans="5:5" ht="15.75" customHeight="1">
      <c r="E407" s="4"/>
    </row>
    <row r="408" spans="5:5" ht="15.75" customHeight="1">
      <c r="E408" s="4"/>
    </row>
    <row r="409" spans="5:5" ht="15.75" customHeight="1">
      <c r="E409" s="4"/>
    </row>
    <row r="410" spans="5:5" ht="15.75" customHeight="1">
      <c r="E410" s="4"/>
    </row>
    <row r="411" spans="5:5" ht="15.75" customHeight="1">
      <c r="E411" s="4"/>
    </row>
    <row r="412" spans="5:5" ht="15.75" customHeight="1">
      <c r="E412" s="4"/>
    </row>
    <row r="413" spans="5:5" ht="15.75" customHeight="1">
      <c r="E413" s="4"/>
    </row>
    <row r="414" spans="5:5" ht="15.75" customHeight="1">
      <c r="E414" s="4"/>
    </row>
    <row r="415" spans="5:5" ht="15.75" customHeight="1">
      <c r="E415" s="4"/>
    </row>
    <row r="416" spans="5:5" ht="15.75" customHeight="1">
      <c r="E416" s="4"/>
    </row>
    <row r="417" spans="5:5" ht="15.75" customHeight="1">
      <c r="E417" s="4"/>
    </row>
    <row r="418" spans="5:5" ht="15.75" customHeight="1">
      <c r="E418" s="4"/>
    </row>
    <row r="419" spans="5:5" ht="15.75" customHeight="1">
      <c r="E419" s="4"/>
    </row>
    <row r="420" spans="5:5" ht="15.75" customHeight="1">
      <c r="E420" s="4"/>
    </row>
    <row r="421" spans="5:5" ht="15.75" customHeight="1">
      <c r="E421" s="4"/>
    </row>
    <row r="422" spans="5:5" ht="15.75" customHeight="1">
      <c r="E422" s="4"/>
    </row>
    <row r="423" spans="5:5" ht="15.75" customHeight="1">
      <c r="E423" s="4"/>
    </row>
    <row r="424" spans="5:5" ht="15.75" customHeight="1">
      <c r="E424" s="4"/>
    </row>
    <row r="425" spans="5:5" ht="15.75" customHeight="1">
      <c r="E425" s="4"/>
    </row>
    <row r="426" spans="5:5" ht="15.75" customHeight="1">
      <c r="E426" s="4"/>
    </row>
    <row r="427" spans="5:5" ht="15.75" customHeight="1">
      <c r="E427" s="4"/>
    </row>
    <row r="428" spans="5:5" ht="15.75" customHeight="1">
      <c r="E428" s="4"/>
    </row>
    <row r="429" spans="5:5" ht="15.75" customHeight="1">
      <c r="E429" s="4"/>
    </row>
    <row r="430" spans="5:5" ht="15.75" customHeight="1">
      <c r="E430" s="4"/>
    </row>
    <row r="431" spans="5:5" ht="15.75" customHeight="1">
      <c r="E431" s="4"/>
    </row>
    <row r="432" spans="5:5" ht="15.75" customHeight="1">
      <c r="E432" s="4"/>
    </row>
    <row r="433" spans="5:5" ht="15.75" customHeight="1">
      <c r="E433" s="4"/>
    </row>
    <row r="434" spans="5:5" ht="15.75" customHeight="1">
      <c r="E434" s="4"/>
    </row>
    <row r="435" spans="5:5" ht="15.75" customHeight="1">
      <c r="E435" s="4"/>
    </row>
    <row r="436" spans="5:5" ht="15.75" customHeight="1">
      <c r="E436" s="4"/>
    </row>
    <row r="437" spans="5:5" ht="15.75" customHeight="1">
      <c r="E437" s="4"/>
    </row>
    <row r="438" spans="5:5" ht="15.75" customHeight="1">
      <c r="E438" s="4"/>
    </row>
    <row r="439" spans="5:5" ht="15.75" customHeight="1">
      <c r="E439" s="4"/>
    </row>
    <row r="440" spans="5:5" ht="15.75" customHeight="1">
      <c r="E440" s="4"/>
    </row>
    <row r="441" spans="5:5" ht="15.75" customHeight="1">
      <c r="E441" s="4"/>
    </row>
    <row r="442" spans="5:5" ht="15.75" customHeight="1">
      <c r="E442" s="4"/>
    </row>
    <row r="443" spans="5:5" ht="15.75" customHeight="1">
      <c r="E443" s="4"/>
    </row>
    <row r="444" spans="5:5" ht="15.75" customHeight="1">
      <c r="E444" s="4"/>
    </row>
    <row r="445" spans="5:5" ht="15.75" customHeight="1">
      <c r="E445" s="4"/>
    </row>
    <row r="446" spans="5:5" ht="15.75" customHeight="1">
      <c r="E446" s="4"/>
    </row>
    <row r="447" spans="5:5" ht="15.75" customHeight="1">
      <c r="E447" s="4"/>
    </row>
    <row r="448" spans="5:5" ht="15.75" customHeight="1">
      <c r="E448" s="4"/>
    </row>
    <row r="449" spans="5:5" ht="15.75" customHeight="1">
      <c r="E449" s="4"/>
    </row>
    <row r="450" spans="5:5" ht="15.75" customHeight="1">
      <c r="E450" s="4"/>
    </row>
    <row r="451" spans="5:5" ht="15.75" customHeight="1">
      <c r="E451" s="4"/>
    </row>
    <row r="452" spans="5:5" ht="15.75" customHeight="1">
      <c r="E452" s="4"/>
    </row>
    <row r="453" spans="5:5" ht="15.75" customHeight="1">
      <c r="E453" s="4"/>
    </row>
    <row r="454" spans="5:5" ht="15.75" customHeight="1">
      <c r="E454" s="4"/>
    </row>
    <row r="455" spans="5:5" ht="15.75" customHeight="1">
      <c r="E455" s="4"/>
    </row>
    <row r="456" spans="5:5" ht="15.75" customHeight="1">
      <c r="E456" s="4"/>
    </row>
    <row r="457" spans="5:5" ht="15.75" customHeight="1">
      <c r="E457" s="4"/>
    </row>
    <row r="458" spans="5:5" ht="15.75" customHeight="1">
      <c r="E458" s="4"/>
    </row>
    <row r="459" spans="5:5" ht="15.75" customHeight="1">
      <c r="E459" s="4"/>
    </row>
    <row r="460" spans="5:5" ht="15.75" customHeight="1">
      <c r="E460" s="4"/>
    </row>
    <row r="461" spans="5:5" ht="15.75" customHeight="1">
      <c r="E461" s="4"/>
    </row>
    <row r="462" spans="5:5" ht="15.75" customHeight="1">
      <c r="E462" s="4"/>
    </row>
    <row r="463" spans="5:5" ht="15.75" customHeight="1">
      <c r="E463" s="4"/>
    </row>
    <row r="464" spans="5:5" ht="15.75" customHeight="1">
      <c r="E464" s="4"/>
    </row>
    <row r="465" spans="5:5" ht="15.75" customHeight="1">
      <c r="E465" s="4"/>
    </row>
    <row r="466" spans="5:5" ht="15.75" customHeight="1">
      <c r="E466" s="4"/>
    </row>
    <row r="467" spans="5:5" ht="15.75" customHeight="1">
      <c r="E467" s="4"/>
    </row>
    <row r="468" spans="5:5" ht="15.75" customHeight="1">
      <c r="E468" s="4"/>
    </row>
    <row r="469" spans="5:5" ht="15.75" customHeight="1">
      <c r="E469" s="4"/>
    </row>
    <row r="470" spans="5:5" ht="15.75" customHeight="1">
      <c r="E470" s="4"/>
    </row>
    <row r="471" spans="5:5" ht="15.75" customHeight="1">
      <c r="E471" s="4"/>
    </row>
    <row r="472" spans="5:5" ht="15.75" customHeight="1">
      <c r="E472" s="4"/>
    </row>
    <row r="473" spans="5:5" ht="15.75" customHeight="1">
      <c r="E473" s="4"/>
    </row>
    <row r="474" spans="5:5" ht="15.75" customHeight="1">
      <c r="E474" s="4"/>
    </row>
    <row r="475" spans="5:5" ht="15.75" customHeight="1">
      <c r="E475" s="4"/>
    </row>
    <row r="476" spans="5:5" ht="15.75" customHeight="1">
      <c r="E476" s="4"/>
    </row>
    <row r="477" spans="5:5" ht="15.75" customHeight="1">
      <c r="E477" s="4"/>
    </row>
    <row r="478" spans="5:5" ht="15.75" customHeight="1">
      <c r="E478" s="4"/>
    </row>
    <row r="479" spans="5:5" ht="15.75" customHeight="1">
      <c r="E479" s="4"/>
    </row>
    <row r="480" spans="5:5" ht="15.75" customHeight="1">
      <c r="E480" s="4"/>
    </row>
    <row r="481" spans="5:5" ht="15.75" customHeight="1">
      <c r="E481" s="4"/>
    </row>
    <row r="482" spans="5:5" ht="15.75" customHeight="1">
      <c r="E482" s="4"/>
    </row>
    <row r="483" spans="5:5" ht="15.75" customHeight="1">
      <c r="E483" s="4"/>
    </row>
    <row r="484" spans="5:5" ht="15.75" customHeight="1">
      <c r="E484" s="4"/>
    </row>
    <row r="485" spans="5:5" ht="15.75" customHeight="1">
      <c r="E485" s="4"/>
    </row>
    <row r="486" spans="5:5" ht="15.75" customHeight="1">
      <c r="E486" s="4"/>
    </row>
    <row r="487" spans="5:5" ht="15.75" customHeight="1">
      <c r="E487" s="4"/>
    </row>
    <row r="488" spans="5:5" ht="15.75" customHeight="1">
      <c r="E488" s="4"/>
    </row>
    <row r="489" spans="5:5" ht="15.75" customHeight="1">
      <c r="E489" s="4"/>
    </row>
    <row r="490" spans="5:5" ht="15.75" customHeight="1">
      <c r="E490" s="4"/>
    </row>
    <row r="491" spans="5:5" ht="15.75" customHeight="1">
      <c r="E491" s="4"/>
    </row>
    <row r="492" spans="5:5" ht="15.75" customHeight="1">
      <c r="E492" s="4"/>
    </row>
    <row r="493" spans="5:5" ht="15.75" customHeight="1">
      <c r="E493" s="4"/>
    </row>
    <row r="494" spans="5:5" ht="15.75" customHeight="1">
      <c r="E494" s="4"/>
    </row>
    <row r="495" spans="5:5" ht="15.75" customHeight="1">
      <c r="E495" s="4"/>
    </row>
    <row r="496" spans="5:5" ht="15.75" customHeight="1">
      <c r="E496" s="4"/>
    </row>
    <row r="497" spans="5:5" ht="15.75" customHeight="1">
      <c r="E497" s="4"/>
    </row>
    <row r="498" spans="5:5" ht="15.75" customHeight="1">
      <c r="E498" s="4"/>
    </row>
    <row r="499" spans="5:5" ht="15.75" customHeight="1">
      <c r="E499" s="4"/>
    </row>
    <row r="500" spans="5:5" ht="15.75" customHeight="1">
      <c r="E500" s="4"/>
    </row>
    <row r="501" spans="5:5" ht="15.75" customHeight="1">
      <c r="E501" s="4"/>
    </row>
    <row r="502" spans="5:5" ht="15.75" customHeight="1">
      <c r="E502" s="4"/>
    </row>
    <row r="503" spans="5:5" ht="15.75" customHeight="1">
      <c r="E503" s="4"/>
    </row>
    <row r="504" spans="5:5" ht="15.75" customHeight="1">
      <c r="E504" s="4"/>
    </row>
    <row r="505" spans="5:5" ht="15.75" customHeight="1">
      <c r="E505" s="4"/>
    </row>
    <row r="506" spans="5:5" ht="15.75" customHeight="1">
      <c r="E506" s="4"/>
    </row>
    <row r="507" spans="5:5" ht="15.75" customHeight="1">
      <c r="E507" s="4"/>
    </row>
    <row r="508" spans="5:5" ht="15.75" customHeight="1">
      <c r="E508" s="4"/>
    </row>
    <row r="509" spans="5:5" ht="15.75" customHeight="1">
      <c r="E509" s="4"/>
    </row>
    <row r="510" spans="5:5" ht="15.75" customHeight="1">
      <c r="E510" s="4"/>
    </row>
    <row r="511" spans="5:5" ht="15.75" customHeight="1">
      <c r="E511" s="4"/>
    </row>
    <row r="512" spans="5:5" ht="15.75" customHeight="1">
      <c r="E512" s="4"/>
    </row>
    <row r="513" spans="5:5" ht="15.75" customHeight="1">
      <c r="E513" s="4"/>
    </row>
    <row r="514" spans="5:5" ht="15.75" customHeight="1">
      <c r="E514" s="4"/>
    </row>
    <row r="515" spans="5:5" ht="15.75" customHeight="1">
      <c r="E515" s="4"/>
    </row>
    <row r="516" spans="5:5" ht="15.75" customHeight="1">
      <c r="E516" s="4"/>
    </row>
    <row r="517" spans="5:5" ht="15.75" customHeight="1">
      <c r="E517" s="4"/>
    </row>
    <row r="518" spans="5:5" ht="15.75" customHeight="1">
      <c r="E518" s="4"/>
    </row>
    <row r="519" spans="5:5" ht="15.75" customHeight="1">
      <c r="E519" s="4"/>
    </row>
    <row r="520" spans="5:5" ht="15.75" customHeight="1">
      <c r="E520" s="4"/>
    </row>
    <row r="521" spans="5:5" ht="15.75" customHeight="1">
      <c r="E521" s="4"/>
    </row>
    <row r="522" spans="5:5" ht="15.75" customHeight="1">
      <c r="E522" s="4"/>
    </row>
    <row r="523" spans="5:5" ht="15.75" customHeight="1">
      <c r="E523" s="4"/>
    </row>
    <row r="524" spans="5:5" ht="15.75" customHeight="1">
      <c r="E524" s="4"/>
    </row>
    <row r="525" spans="5:5" ht="15.75" customHeight="1">
      <c r="E525" s="4"/>
    </row>
    <row r="526" spans="5:5" ht="15.75" customHeight="1">
      <c r="E526" s="4"/>
    </row>
    <row r="527" spans="5:5" ht="15.75" customHeight="1">
      <c r="E527" s="4"/>
    </row>
    <row r="528" spans="5:5" ht="15.75" customHeight="1">
      <c r="E528" s="4"/>
    </row>
    <row r="529" spans="5:5" ht="15.75" customHeight="1">
      <c r="E529" s="4"/>
    </row>
    <row r="530" spans="5:5" ht="15.75" customHeight="1">
      <c r="E530" s="4"/>
    </row>
    <row r="531" spans="5:5" ht="15.75" customHeight="1">
      <c r="E531" s="4"/>
    </row>
    <row r="532" spans="5:5" ht="15.75" customHeight="1">
      <c r="E532" s="4"/>
    </row>
    <row r="533" spans="5:5" ht="15.75" customHeight="1">
      <c r="E533" s="4"/>
    </row>
    <row r="534" spans="5:5" ht="15.75" customHeight="1">
      <c r="E534" s="4"/>
    </row>
    <row r="535" spans="5:5" ht="15.75" customHeight="1">
      <c r="E535" s="4"/>
    </row>
    <row r="536" spans="5:5" ht="15.75" customHeight="1">
      <c r="E536" s="4"/>
    </row>
    <row r="537" spans="5:5" ht="15.75" customHeight="1">
      <c r="E537" s="4"/>
    </row>
    <row r="538" spans="5:5" ht="15.75" customHeight="1">
      <c r="E538" s="4"/>
    </row>
    <row r="539" spans="5:5" ht="15.75" customHeight="1">
      <c r="E539" s="4"/>
    </row>
    <row r="540" spans="5:5" ht="15.75" customHeight="1">
      <c r="E540" s="4"/>
    </row>
    <row r="541" spans="5:5" ht="15.75" customHeight="1">
      <c r="E541" s="4"/>
    </row>
    <row r="542" spans="5:5" ht="15.75" customHeight="1">
      <c r="E542" s="4"/>
    </row>
    <row r="543" spans="5:5" ht="15.75" customHeight="1">
      <c r="E543" s="4"/>
    </row>
    <row r="544" spans="5:5" ht="15.75" customHeight="1">
      <c r="E544" s="4"/>
    </row>
    <row r="545" spans="5:5" ht="15.75" customHeight="1">
      <c r="E545" s="4"/>
    </row>
    <row r="546" spans="5:5" ht="15.75" customHeight="1">
      <c r="E546" s="4"/>
    </row>
    <row r="547" spans="5:5" ht="15.75" customHeight="1">
      <c r="E547" s="4"/>
    </row>
    <row r="548" spans="5:5" ht="15.75" customHeight="1">
      <c r="E548" s="4"/>
    </row>
    <row r="549" spans="5:5" ht="15.75" customHeight="1">
      <c r="E549" s="4"/>
    </row>
    <row r="550" spans="5:5" ht="15.75" customHeight="1">
      <c r="E550" s="4"/>
    </row>
    <row r="551" spans="5:5" ht="15.75" customHeight="1">
      <c r="E551" s="4"/>
    </row>
    <row r="552" spans="5:5" ht="15.75" customHeight="1">
      <c r="E552" s="4"/>
    </row>
    <row r="553" spans="5:5" ht="15.75" customHeight="1">
      <c r="E553" s="4"/>
    </row>
    <row r="554" spans="5:5" ht="15.75" customHeight="1">
      <c r="E554" s="4"/>
    </row>
    <row r="555" spans="5:5" ht="15.75" customHeight="1">
      <c r="E555" s="4"/>
    </row>
    <row r="556" spans="5:5" ht="15.75" customHeight="1">
      <c r="E556" s="4"/>
    </row>
    <row r="557" spans="5:5" ht="15.75" customHeight="1">
      <c r="E557" s="4"/>
    </row>
    <row r="558" spans="5:5" ht="15.75" customHeight="1">
      <c r="E558" s="4"/>
    </row>
    <row r="559" spans="5:5" ht="15.75" customHeight="1">
      <c r="E559" s="4"/>
    </row>
    <row r="560" spans="5:5" ht="15.75" customHeight="1">
      <c r="E560" s="4"/>
    </row>
    <row r="561" spans="5:5" ht="15.75" customHeight="1">
      <c r="E561" s="4"/>
    </row>
    <row r="562" spans="5:5" ht="15.75" customHeight="1">
      <c r="E562" s="4"/>
    </row>
    <row r="563" spans="5:5" ht="15.75" customHeight="1">
      <c r="E563" s="4"/>
    </row>
    <row r="564" spans="5:5" ht="15.75" customHeight="1">
      <c r="E564" s="4"/>
    </row>
    <row r="565" spans="5:5" ht="15.75" customHeight="1">
      <c r="E565" s="4"/>
    </row>
    <row r="566" spans="5:5" ht="15.75" customHeight="1">
      <c r="E566" s="4"/>
    </row>
    <row r="567" spans="5:5" ht="15.75" customHeight="1">
      <c r="E567" s="4"/>
    </row>
    <row r="568" spans="5:5" ht="15.75" customHeight="1">
      <c r="E568" s="4"/>
    </row>
    <row r="569" spans="5:5" ht="15.75" customHeight="1">
      <c r="E569" s="4"/>
    </row>
    <row r="570" spans="5:5" ht="15.75" customHeight="1">
      <c r="E570" s="4"/>
    </row>
    <row r="571" spans="5:5" ht="15.75" customHeight="1">
      <c r="E571" s="4"/>
    </row>
    <row r="572" spans="5:5" ht="15.75" customHeight="1">
      <c r="E572" s="4"/>
    </row>
    <row r="573" spans="5:5" ht="15.75" customHeight="1">
      <c r="E573" s="4"/>
    </row>
    <row r="574" spans="5:5" ht="15.75" customHeight="1">
      <c r="E574" s="4"/>
    </row>
    <row r="575" spans="5:5" ht="15.75" customHeight="1">
      <c r="E575" s="4"/>
    </row>
    <row r="576" spans="5:5" ht="15.75" customHeight="1">
      <c r="E576" s="4"/>
    </row>
    <row r="577" spans="5:5" ht="15.75" customHeight="1">
      <c r="E577" s="4"/>
    </row>
    <row r="578" spans="5:5" ht="15.75" customHeight="1">
      <c r="E578" s="4"/>
    </row>
    <row r="579" spans="5:5" ht="15.75" customHeight="1">
      <c r="E579" s="4"/>
    </row>
    <row r="580" spans="5:5" ht="15.75" customHeight="1">
      <c r="E580" s="4"/>
    </row>
    <row r="581" spans="5:5" ht="15.75" customHeight="1">
      <c r="E581" s="4"/>
    </row>
    <row r="582" spans="5:5" ht="15.75" customHeight="1">
      <c r="E582" s="4"/>
    </row>
    <row r="583" spans="5:5" ht="15.75" customHeight="1">
      <c r="E583" s="4"/>
    </row>
    <row r="584" spans="5:5" ht="15.75" customHeight="1">
      <c r="E584" s="4"/>
    </row>
    <row r="585" spans="5:5" ht="15.75" customHeight="1">
      <c r="E585" s="4"/>
    </row>
    <row r="586" spans="5:5" ht="15.75" customHeight="1">
      <c r="E586" s="4"/>
    </row>
    <row r="587" spans="5:5" ht="15.75" customHeight="1">
      <c r="E587" s="4"/>
    </row>
    <row r="588" spans="5:5" ht="15.75" customHeight="1">
      <c r="E588" s="4"/>
    </row>
    <row r="589" spans="5:5" ht="15.75" customHeight="1">
      <c r="E589" s="4"/>
    </row>
    <row r="590" spans="5:5" ht="15.75" customHeight="1">
      <c r="E590" s="4"/>
    </row>
    <row r="591" spans="5:5" ht="15.75" customHeight="1">
      <c r="E591" s="4"/>
    </row>
    <row r="592" spans="5:5" ht="15.75" customHeight="1">
      <c r="E592" s="4"/>
    </row>
    <row r="593" spans="5:5" ht="15.75" customHeight="1">
      <c r="E593" s="4"/>
    </row>
    <row r="594" spans="5:5" ht="15.75" customHeight="1">
      <c r="E594" s="4"/>
    </row>
    <row r="595" spans="5:5" ht="15.75" customHeight="1">
      <c r="E595" s="4"/>
    </row>
    <row r="596" spans="5:5" ht="15.75" customHeight="1">
      <c r="E596" s="4"/>
    </row>
    <row r="597" spans="5:5" ht="15.75" customHeight="1">
      <c r="E597" s="4"/>
    </row>
    <row r="598" spans="5:5" ht="15.75" customHeight="1">
      <c r="E598" s="4"/>
    </row>
    <row r="599" spans="5:5" ht="15.75" customHeight="1">
      <c r="E599" s="4"/>
    </row>
    <row r="600" spans="5:5" ht="15.75" customHeight="1">
      <c r="E600" s="4"/>
    </row>
    <row r="601" spans="5:5" ht="15.75" customHeight="1">
      <c r="E601" s="4"/>
    </row>
    <row r="602" spans="5:5" ht="15.75" customHeight="1">
      <c r="E602" s="4"/>
    </row>
    <row r="603" spans="5:5" ht="15.75" customHeight="1">
      <c r="E603" s="4"/>
    </row>
    <row r="604" spans="5:5" ht="15.75" customHeight="1">
      <c r="E604" s="4"/>
    </row>
    <row r="605" spans="5:5" ht="15.75" customHeight="1">
      <c r="E605" s="4"/>
    </row>
    <row r="606" spans="5:5" ht="15.75" customHeight="1">
      <c r="E606" s="4"/>
    </row>
    <row r="607" spans="5:5" ht="15.75" customHeight="1">
      <c r="E607" s="4"/>
    </row>
    <row r="608" spans="5:5" ht="15.75" customHeight="1">
      <c r="E608" s="4"/>
    </row>
    <row r="609" spans="5:5" ht="15.75" customHeight="1">
      <c r="E609" s="4"/>
    </row>
    <row r="610" spans="5:5" ht="15.75" customHeight="1">
      <c r="E610" s="4"/>
    </row>
    <row r="611" spans="5:5" ht="15.75" customHeight="1">
      <c r="E611" s="4"/>
    </row>
    <row r="612" spans="5:5" ht="15.75" customHeight="1">
      <c r="E612" s="4"/>
    </row>
    <row r="613" spans="5:5" ht="15.75" customHeight="1">
      <c r="E613" s="4"/>
    </row>
    <row r="614" spans="5:5" ht="15.75" customHeight="1">
      <c r="E614" s="4"/>
    </row>
    <row r="615" spans="5:5" ht="15.75" customHeight="1">
      <c r="E615" s="4"/>
    </row>
    <row r="616" spans="5:5" ht="15.75" customHeight="1">
      <c r="E616" s="4"/>
    </row>
    <row r="617" spans="5:5" ht="15.75" customHeight="1">
      <c r="E617" s="4"/>
    </row>
    <row r="618" spans="5:5" ht="15.75" customHeight="1">
      <c r="E618" s="4"/>
    </row>
    <row r="619" spans="5:5" ht="15.75" customHeight="1">
      <c r="E619" s="4"/>
    </row>
    <row r="620" spans="5:5" ht="15.75" customHeight="1">
      <c r="E620" s="4"/>
    </row>
    <row r="621" spans="5:5" ht="15.75" customHeight="1">
      <c r="E621" s="4"/>
    </row>
    <row r="622" spans="5:5" ht="15.75" customHeight="1">
      <c r="E622" s="4"/>
    </row>
    <row r="623" spans="5:5" ht="15.75" customHeight="1">
      <c r="E623" s="4"/>
    </row>
    <row r="624" spans="5:5" ht="15.75" customHeight="1">
      <c r="E624" s="4"/>
    </row>
    <row r="625" spans="5:5" ht="15.75" customHeight="1">
      <c r="E625" s="4"/>
    </row>
    <row r="626" spans="5:5" ht="15.75" customHeight="1">
      <c r="E626" s="4"/>
    </row>
    <row r="627" spans="5:5" ht="15.75" customHeight="1">
      <c r="E627" s="4"/>
    </row>
    <row r="628" spans="5:5" ht="15.75" customHeight="1">
      <c r="E628" s="4"/>
    </row>
    <row r="629" spans="5:5" ht="15.75" customHeight="1">
      <c r="E629" s="4"/>
    </row>
    <row r="630" spans="5:5" ht="15.75" customHeight="1">
      <c r="E630" s="4"/>
    </row>
    <row r="631" spans="5:5" ht="15.75" customHeight="1">
      <c r="E631" s="4"/>
    </row>
    <row r="632" spans="5:5" ht="15.75" customHeight="1">
      <c r="E632" s="4"/>
    </row>
    <row r="633" spans="5:5" ht="15.75" customHeight="1">
      <c r="E633" s="4"/>
    </row>
    <row r="634" spans="5:5" ht="15.75" customHeight="1">
      <c r="E634" s="4"/>
    </row>
    <row r="635" spans="5:5" ht="15.75" customHeight="1">
      <c r="E635" s="4"/>
    </row>
    <row r="636" spans="5:5" ht="15.75" customHeight="1">
      <c r="E636" s="4"/>
    </row>
    <row r="637" spans="5:5" ht="15.75" customHeight="1">
      <c r="E637" s="4"/>
    </row>
    <row r="638" spans="5:5" ht="15.75" customHeight="1">
      <c r="E638" s="4"/>
    </row>
    <row r="639" spans="5:5" ht="15.75" customHeight="1">
      <c r="E639" s="4"/>
    </row>
    <row r="640" spans="5:5" ht="15.75" customHeight="1">
      <c r="E640" s="4"/>
    </row>
    <row r="641" spans="5:5" ht="15.75" customHeight="1">
      <c r="E641" s="4"/>
    </row>
    <row r="642" spans="5:5" ht="15.75" customHeight="1">
      <c r="E642" s="4"/>
    </row>
    <row r="643" spans="5:5" ht="15.75" customHeight="1">
      <c r="E643" s="4"/>
    </row>
    <row r="644" spans="5:5" ht="15.75" customHeight="1">
      <c r="E644" s="4"/>
    </row>
    <row r="645" spans="5:5" ht="15.75" customHeight="1">
      <c r="E645" s="4"/>
    </row>
    <row r="646" spans="5:5" ht="15.75" customHeight="1">
      <c r="E646" s="4"/>
    </row>
    <row r="647" spans="5:5" ht="15.75" customHeight="1">
      <c r="E647" s="4"/>
    </row>
    <row r="648" spans="5:5" ht="15.75" customHeight="1">
      <c r="E648" s="4"/>
    </row>
    <row r="649" spans="5:5" ht="15.75" customHeight="1">
      <c r="E649" s="4"/>
    </row>
    <row r="650" spans="5:5" ht="15.75" customHeight="1">
      <c r="E650" s="4"/>
    </row>
    <row r="651" spans="5:5" ht="15.75" customHeight="1">
      <c r="E651" s="4"/>
    </row>
    <row r="652" spans="5:5" ht="15.75" customHeight="1">
      <c r="E652" s="4"/>
    </row>
    <row r="653" spans="5:5" ht="15.75" customHeight="1">
      <c r="E653" s="4"/>
    </row>
    <row r="654" spans="5:5" ht="15.75" customHeight="1">
      <c r="E654" s="4"/>
    </row>
    <row r="655" spans="5:5" ht="15.75" customHeight="1">
      <c r="E655" s="4"/>
    </row>
    <row r="656" spans="5:5" ht="15.75" customHeight="1">
      <c r="E656" s="4"/>
    </row>
    <row r="657" spans="5:5" ht="15.75" customHeight="1">
      <c r="E657" s="4"/>
    </row>
    <row r="658" spans="5:5" ht="15.75" customHeight="1">
      <c r="E658" s="4"/>
    </row>
    <row r="659" spans="5:5" ht="15.75" customHeight="1">
      <c r="E659" s="4"/>
    </row>
    <row r="660" spans="5:5" ht="15.75" customHeight="1">
      <c r="E660" s="4"/>
    </row>
    <row r="661" spans="5:5" ht="15.75" customHeight="1">
      <c r="E661" s="4"/>
    </row>
    <row r="662" spans="5:5" ht="15.75" customHeight="1">
      <c r="E662" s="4"/>
    </row>
    <row r="663" spans="5:5" ht="15.75" customHeight="1">
      <c r="E663" s="4"/>
    </row>
    <row r="664" spans="5:5" ht="15.75" customHeight="1">
      <c r="E664" s="4"/>
    </row>
    <row r="665" spans="5:5" ht="15.75" customHeight="1">
      <c r="E665" s="4"/>
    </row>
    <row r="666" spans="5:5" ht="15.75" customHeight="1">
      <c r="E666" s="4"/>
    </row>
    <row r="667" spans="5:5" ht="15.75" customHeight="1">
      <c r="E667" s="4"/>
    </row>
    <row r="668" spans="5:5" ht="15.75" customHeight="1">
      <c r="E668" s="4"/>
    </row>
    <row r="669" spans="5:5" ht="15.75" customHeight="1">
      <c r="E669" s="4"/>
    </row>
    <row r="670" spans="5:5" ht="15.75" customHeight="1">
      <c r="E670" s="4"/>
    </row>
    <row r="671" spans="5:5" ht="15.75" customHeight="1">
      <c r="E671" s="4"/>
    </row>
    <row r="672" spans="5:5" ht="15.75" customHeight="1">
      <c r="E672" s="4"/>
    </row>
    <row r="673" spans="5:5" ht="15.75" customHeight="1">
      <c r="E673" s="4"/>
    </row>
    <row r="674" spans="5:5" ht="15.75" customHeight="1">
      <c r="E674" s="4"/>
    </row>
    <row r="675" spans="5:5" ht="15.75" customHeight="1">
      <c r="E675" s="4"/>
    </row>
    <row r="676" spans="5:5" ht="15.75" customHeight="1">
      <c r="E676" s="4"/>
    </row>
    <row r="677" spans="5:5" ht="15.75" customHeight="1">
      <c r="E677" s="4"/>
    </row>
    <row r="678" spans="5:5" ht="15.75" customHeight="1">
      <c r="E678" s="4"/>
    </row>
    <row r="679" spans="5:5" ht="15.75" customHeight="1">
      <c r="E679" s="4"/>
    </row>
    <row r="680" spans="5:5" ht="15.75" customHeight="1">
      <c r="E680" s="4"/>
    </row>
    <row r="681" spans="5:5" ht="15.75" customHeight="1">
      <c r="E681" s="4"/>
    </row>
    <row r="682" spans="5:5" ht="15.75" customHeight="1">
      <c r="E682" s="4"/>
    </row>
    <row r="683" spans="5:5" ht="15.75" customHeight="1">
      <c r="E683" s="4"/>
    </row>
    <row r="684" spans="5:5" ht="15.75" customHeight="1">
      <c r="E684" s="4"/>
    </row>
    <row r="685" spans="5:5" ht="15.75" customHeight="1">
      <c r="E685" s="4"/>
    </row>
    <row r="686" spans="5:5" ht="15.75" customHeight="1">
      <c r="E686" s="4"/>
    </row>
    <row r="687" spans="5:5" ht="15.75" customHeight="1">
      <c r="E687" s="4"/>
    </row>
    <row r="688" spans="5:5" ht="15.75" customHeight="1">
      <c r="E688" s="4"/>
    </row>
    <row r="689" spans="5:5" ht="15.75" customHeight="1">
      <c r="E689" s="4"/>
    </row>
    <row r="690" spans="5:5" ht="15.75" customHeight="1">
      <c r="E690" s="4"/>
    </row>
    <row r="691" spans="5:5" ht="15.75" customHeight="1">
      <c r="E691" s="4"/>
    </row>
    <row r="692" spans="5:5" ht="15.75" customHeight="1">
      <c r="E692" s="4"/>
    </row>
    <row r="693" spans="5:5" ht="15.75" customHeight="1">
      <c r="E693" s="4"/>
    </row>
    <row r="694" spans="5:5" ht="15.75" customHeight="1">
      <c r="E694" s="4"/>
    </row>
    <row r="695" spans="5:5" ht="15.75" customHeight="1">
      <c r="E695" s="4"/>
    </row>
    <row r="696" spans="5:5" ht="15.75" customHeight="1">
      <c r="E696" s="4"/>
    </row>
    <row r="697" spans="5:5" ht="15.75" customHeight="1">
      <c r="E697" s="4"/>
    </row>
    <row r="698" spans="5:5" ht="15.75" customHeight="1">
      <c r="E698" s="4"/>
    </row>
    <row r="699" spans="5:5" ht="15.75" customHeight="1">
      <c r="E699" s="4"/>
    </row>
    <row r="700" spans="5:5" ht="15.75" customHeight="1">
      <c r="E700" s="4"/>
    </row>
    <row r="701" spans="5:5" ht="15.75" customHeight="1">
      <c r="E701" s="4"/>
    </row>
    <row r="702" spans="5:5" ht="15.75" customHeight="1">
      <c r="E702" s="4"/>
    </row>
    <row r="703" spans="5:5" ht="15.75" customHeight="1">
      <c r="E703" s="4"/>
    </row>
    <row r="704" spans="5:5" ht="15.75" customHeight="1">
      <c r="E704" s="4"/>
    </row>
    <row r="705" spans="5:5" ht="15.75" customHeight="1">
      <c r="E705" s="4"/>
    </row>
    <row r="706" spans="5:5" ht="15.75" customHeight="1">
      <c r="E706" s="4"/>
    </row>
    <row r="707" spans="5:5" ht="15.75" customHeight="1">
      <c r="E707" s="4"/>
    </row>
    <row r="708" spans="5:5" ht="15.75" customHeight="1">
      <c r="E708" s="4"/>
    </row>
    <row r="709" spans="5:5" ht="15.75" customHeight="1">
      <c r="E709" s="4"/>
    </row>
    <row r="710" spans="5:5" ht="15.75" customHeight="1">
      <c r="E710" s="4"/>
    </row>
    <row r="711" spans="5:5" ht="15.75" customHeight="1">
      <c r="E711" s="4"/>
    </row>
    <row r="712" spans="5:5" ht="15.75" customHeight="1">
      <c r="E712" s="4"/>
    </row>
    <row r="713" spans="5:5" ht="15.75" customHeight="1">
      <c r="E713" s="4"/>
    </row>
    <row r="714" spans="5:5" ht="15.75" customHeight="1">
      <c r="E714" s="4"/>
    </row>
    <row r="715" spans="5:5" ht="15.75" customHeight="1">
      <c r="E715" s="4"/>
    </row>
    <row r="716" spans="5:5" ht="15.75" customHeight="1">
      <c r="E716" s="4"/>
    </row>
    <row r="717" spans="5:5" ht="15.75" customHeight="1">
      <c r="E717" s="4"/>
    </row>
    <row r="718" spans="5:5" ht="15.75" customHeight="1">
      <c r="E718" s="4"/>
    </row>
    <row r="719" spans="5:5" ht="15.75" customHeight="1">
      <c r="E719" s="4"/>
    </row>
    <row r="720" spans="5:5" ht="15.75" customHeight="1">
      <c r="E720" s="4"/>
    </row>
    <row r="721" spans="5:5" ht="15.75" customHeight="1">
      <c r="E721" s="4"/>
    </row>
    <row r="722" spans="5:5" ht="15.75" customHeight="1">
      <c r="E722" s="4"/>
    </row>
    <row r="723" spans="5:5" ht="15.75" customHeight="1">
      <c r="E723" s="4"/>
    </row>
    <row r="724" spans="5:5" ht="15.75" customHeight="1">
      <c r="E724" s="4"/>
    </row>
    <row r="725" spans="5:5" ht="15.75" customHeight="1">
      <c r="E725" s="4"/>
    </row>
    <row r="726" spans="5:5" ht="15.75" customHeight="1">
      <c r="E726" s="4"/>
    </row>
    <row r="727" spans="5:5" ht="15.75" customHeight="1">
      <c r="E727" s="4"/>
    </row>
    <row r="728" spans="5:5" ht="15.75" customHeight="1">
      <c r="E728" s="4"/>
    </row>
    <row r="729" spans="5:5" ht="15.75" customHeight="1">
      <c r="E729" s="4"/>
    </row>
    <row r="730" spans="5:5" ht="15.75" customHeight="1">
      <c r="E730" s="4"/>
    </row>
    <row r="731" spans="5:5" ht="15.75" customHeight="1">
      <c r="E731" s="4"/>
    </row>
    <row r="732" spans="5:5" ht="15.75" customHeight="1">
      <c r="E732" s="4"/>
    </row>
    <row r="733" spans="5:5" ht="15.75" customHeight="1">
      <c r="E733" s="4"/>
    </row>
    <row r="734" spans="5:5" ht="15.75" customHeight="1">
      <c r="E734" s="4"/>
    </row>
    <row r="735" spans="5:5" ht="15.75" customHeight="1">
      <c r="E735" s="4"/>
    </row>
    <row r="736" spans="5:5" ht="15.75" customHeight="1">
      <c r="E736" s="4"/>
    </row>
    <row r="737" spans="5:5" ht="15.75" customHeight="1">
      <c r="E737" s="4"/>
    </row>
    <row r="738" spans="5:5" ht="15.75" customHeight="1">
      <c r="E738" s="4"/>
    </row>
    <row r="739" spans="5:5" ht="15.75" customHeight="1">
      <c r="E739" s="4"/>
    </row>
    <row r="740" spans="5:5" ht="15.75" customHeight="1">
      <c r="E740" s="4"/>
    </row>
    <row r="741" spans="5:5" ht="15.75" customHeight="1">
      <c r="E741" s="4"/>
    </row>
    <row r="742" spans="5:5" ht="15.75" customHeight="1">
      <c r="E742" s="4"/>
    </row>
    <row r="743" spans="5:5" ht="15.75" customHeight="1">
      <c r="E743" s="4"/>
    </row>
    <row r="744" spans="5:5" ht="15.75" customHeight="1">
      <c r="E744" s="4"/>
    </row>
    <row r="745" spans="5:5" ht="15.75" customHeight="1">
      <c r="E745" s="4"/>
    </row>
    <row r="746" spans="5:5" ht="15.75" customHeight="1">
      <c r="E746" s="4"/>
    </row>
    <row r="747" spans="5:5" ht="15.75" customHeight="1">
      <c r="E747" s="4"/>
    </row>
    <row r="748" spans="5:5" ht="15.75" customHeight="1">
      <c r="E748" s="4"/>
    </row>
    <row r="749" spans="5:5" ht="15.75" customHeight="1">
      <c r="E749" s="4"/>
    </row>
    <row r="750" spans="5:5" ht="15.75" customHeight="1">
      <c r="E750" s="4"/>
    </row>
    <row r="751" spans="5:5" ht="15.75" customHeight="1">
      <c r="E751" s="4"/>
    </row>
    <row r="752" spans="5:5" ht="15.75" customHeight="1">
      <c r="E752" s="4"/>
    </row>
    <row r="753" spans="5:5" ht="15.75" customHeight="1">
      <c r="E753" s="4"/>
    </row>
    <row r="754" spans="5:5" ht="15.75" customHeight="1">
      <c r="E754" s="4"/>
    </row>
    <row r="755" spans="5:5" ht="15.75" customHeight="1">
      <c r="E755" s="4"/>
    </row>
    <row r="756" spans="5:5" ht="15.75" customHeight="1">
      <c r="E756" s="4"/>
    </row>
    <row r="757" spans="5:5" ht="15.75" customHeight="1">
      <c r="E757" s="4"/>
    </row>
    <row r="758" spans="5:5" ht="15.75" customHeight="1">
      <c r="E758" s="4"/>
    </row>
    <row r="759" spans="5:5" ht="15.75" customHeight="1">
      <c r="E759" s="4"/>
    </row>
    <row r="760" spans="5:5" ht="15.75" customHeight="1">
      <c r="E760" s="4"/>
    </row>
    <row r="761" spans="5:5" ht="15.75" customHeight="1">
      <c r="E761" s="4"/>
    </row>
    <row r="762" spans="5:5" ht="15.75" customHeight="1">
      <c r="E762" s="4"/>
    </row>
    <row r="763" spans="5:5" ht="15.75" customHeight="1">
      <c r="E763" s="4"/>
    </row>
    <row r="764" spans="5:5" ht="15.75" customHeight="1">
      <c r="E764" s="4"/>
    </row>
    <row r="765" spans="5:5" ht="15.75" customHeight="1">
      <c r="E765" s="4"/>
    </row>
    <row r="766" spans="5:5" ht="15.75" customHeight="1">
      <c r="E766" s="4"/>
    </row>
    <row r="767" spans="5:5" ht="15.75" customHeight="1">
      <c r="E767" s="4"/>
    </row>
    <row r="768" spans="5:5" ht="15.75" customHeight="1">
      <c r="E768" s="4"/>
    </row>
    <row r="769" spans="5:5" ht="15.75" customHeight="1">
      <c r="E769" s="4"/>
    </row>
    <row r="770" spans="5:5" ht="15.75" customHeight="1">
      <c r="E770" s="4"/>
    </row>
    <row r="771" spans="5:5" ht="15.75" customHeight="1">
      <c r="E771" s="4"/>
    </row>
    <row r="772" spans="5:5" ht="15.75" customHeight="1">
      <c r="E772" s="4"/>
    </row>
    <row r="773" spans="5:5" ht="15.75" customHeight="1">
      <c r="E773" s="4"/>
    </row>
    <row r="774" spans="5:5" ht="15.75" customHeight="1">
      <c r="E774" s="4"/>
    </row>
    <row r="775" spans="5:5" ht="15.75" customHeight="1">
      <c r="E775" s="4"/>
    </row>
    <row r="776" spans="5:5" ht="15.75" customHeight="1">
      <c r="E776" s="4"/>
    </row>
    <row r="777" spans="5:5" ht="15.75" customHeight="1">
      <c r="E777" s="4"/>
    </row>
    <row r="778" spans="5:5" ht="15.75" customHeight="1">
      <c r="E778" s="4"/>
    </row>
    <row r="779" spans="5:5" ht="15.75" customHeight="1">
      <c r="E779" s="4"/>
    </row>
    <row r="780" spans="5:5" ht="15.75" customHeight="1">
      <c r="E780" s="4"/>
    </row>
    <row r="781" spans="5:5" ht="15.75" customHeight="1">
      <c r="E781" s="4"/>
    </row>
    <row r="782" spans="5:5" ht="15.75" customHeight="1">
      <c r="E782" s="4"/>
    </row>
    <row r="783" spans="5:5" ht="15.75" customHeight="1">
      <c r="E783" s="4"/>
    </row>
    <row r="784" spans="5:5" ht="15.75" customHeight="1">
      <c r="E784" s="4"/>
    </row>
    <row r="785" spans="5:5" ht="15.75" customHeight="1">
      <c r="E785" s="4"/>
    </row>
    <row r="786" spans="5:5" ht="15.75" customHeight="1">
      <c r="E786" s="4"/>
    </row>
    <row r="787" spans="5:5" ht="15.75" customHeight="1">
      <c r="E787" s="4"/>
    </row>
    <row r="788" spans="5:5" ht="15.75" customHeight="1">
      <c r="E788" s="4"/>
    </row>
    <row r="789" spans="5:5" ht="15.75" customHeight="1">
      <c r="E789" s="4"/>
    </row>
    <row r="790" spans="5:5" ht="15.75" customHeight="1">
      <c r="E790" s="4"/>
    </row>
    <row r="791" spans="5:5" ht="15.75" customHeight="1">
      <c r="E791" s="4"/>
    </row>
    <row r="792" spans="5:5" ht="15.75" customHeight="1">
      <c r="E792" s="4"/>
    </row>
    <row r="793" spans="5:5" ht="15.75" customHeight="1">
      <c r="E793" s="4"/>
    </row>
    <row r="794" spans="5:5" ht="15.75" customHeight="1">
      <c r="E794" s="4"/>
    </row>
    <row r="795" spans="5:5" ht="15.75" customHeight="1">
      <c r="E795" s="4"/>
    </row>
    <row r="796" spans="5:5" ht="15.75" customHeight="1">
      <c r="E796" s="4"/>
    </row>
    <row r="797" spans="5:5" ht="15.75" customHeight="1">
      <c r="E797" s="4"/>
    </row>
    <row r="798" spans="5:5" ht="15.75" customHeight="1">
      <c r="E798" s="4"/>
    </row>
    <row r="799" spans="5:5" ht="15.75" customHeight="1">
      <c r="E799" s="4"/>
    </row>
    <row r="800" spans="5:5" ht="15.75" customHeight="1">
      <c r="E800" s="4"/>
    </row>
    <row r="801" spans="5:5" ht="15.75" customHeight="1">
      <c r="E801" s="4"/>
    </row>
    <row r="802" spans="5:5" ht="15.75" customHeight="1">
      <c r="E802" s="4"/>
    </row>
    <row r="803" spans="5:5" ht="15.75" customHeight="1">
      <c r="E803" s="4"/>
    </row>
    <row r="804" spans="5:5" ht="15.75" customHeight="1">
      <c r="E804" s="4"/>
    </row>
    <row r="805" spans="5:5" ht="15.75" customHeight="1">
      <c r="E805" s="4"/>
    </row>
    <row r="806" spans="5:5" ht="15.75" customHeight="1">
      <c r="E806" s="4"/>
    </row>
    <row r="807" spans="5:5" ht="15.75" customHeight="1">
      <c r="E807" s="4"/>
    </row>
    <row r="808" spans="5:5" ht="15.75" customHeight="1">
      <c r="E808" s="4"/>
    </row>
    <row r="809" spans="5:5" ht="15.75" customHeight="1">
      <c r="E809" s="4"/>
    </row>
    <row r="810" spans="5:5" ht="15.75" customHeight="1">
      <c r="E810" s="4"/>
    </row>
    <row r="811" spans="5:5" ht="15.75" customHeight="1">
      <c r="E811" s="4"/>
    </row>
    <row r="812" spans="5:5" ht="15.75" customHeight="1">
      <c r="E812" s="4"/>
    </row>
    <row r="813" spans="5:5" ht="15.75" customHeight="1">
      <c r="E813" s="4"/>
    </row>
    <row r="814" spans="5:5" ht="15.75" customHeight="1">
      <c r="E814" s="4"/>
    </row>
    <row r="815" spans="5:5" ht="15.75" customHeight="1">
      <c r="E815" s="4"/>
    </row>
    <row r="816" spans="5:5" ht="15.75" customHeight="1">
      <c r="E816" s="4"/>
    </row>
    <row r="817" spans="5:5" ht="15.75" customHeight="1">
      <c r="E817" s="4"/>
    </row>
    <row r="818" spans="5:5" ht="15.75" customHeight="1">
      <c r="E818" s="4"/>
    </row>
    <row r="819" spans="5:5" ht="15.75" customHeight="1">
      <c r="E819" s="4"/>
    </row>
    <row r="820" spans="5:5" ht="15.75" customHeight="1">
      <c r="E820" s="4"/>
    </row>
    <row r="821" spans="5:5" ht="15.75" customHeight="1">
      <c r="E821" s="4"/>
    </row>
    <row r="822" spans="5:5" ht="15.75" customHeight="1">
      <c r="E822" s="4"/>
    </row>
    <row r="823" spans="5:5" ht="15.75" customHeight="1">
      <c r="E823" s="4"/>
    </row>
    <row r="824" spans="5:5" ht="15.75" customHeight="1">
      <c r="E824" s="4"/>
    </row>
    <row r="825" spans="5:5" ht="15.75" customHeight="1">
      <c r="E825" s="4"/>
    </row>
    <row r="826" spans="5:5" ht="15.75" customHeight="1">
      <c r="E826" s="4"/>
    </row>
    <row r="827" spans="5:5" ht="15.75" customHeight="1">
      <c r="E827" s="4"/>
    </row>
    <row r="828" spans="5:5" ht="15.75" customHeight="1">
      <c r="E828" s="4"/>
    </row>
    <row r="829" spans="5:5" ht="15.75" customHeight="1">
      <c r="E829" s="4"/>
    </row>
    <row r="830" spans="5:5" ht="15.75" customHeight="1">
      <c r="E830" s="4"/>
    </row>
    <row r="831" spans="5:5" ht="15.75" customHeight="1">
      <c r="E831" s="4"/>
    </row>
    <row r="832" spans="5:5" ht="15.75" customHeight="1">
      <c r="E832" s="4"/>
    </row>
    <row r="833" spans="5:5" ht="15.75" customHeight="1">
      <c r="E833" s="4"/>
    </row>
    <row r="834" spans="5:5" ht="15.75" customHeight="1">
      <c r="E834" s="4"/>
    </row>
    <row r="835" spans="5:5" ht="15.75" customHeight="1">
      <c r="E835" s="4"/>
    </row>
    <row r="836" spans="5:5" ht="15.75" customHeight="1">
      <c r="E836" s="4"/>
    </row>
    <row r="837" spans="5:5" ht="15.75" customHeight="1">
      <c r="E837" s="4"/>
    </row>
    <row r="838" spans="5:5" ht="15.75" customHeight="1">
      <c r="E838" s="4"/>
    </row>
    <row r="839" spans="5:5" ht="15.75" customHeight="1">
      <c r="E839" s="4"/>
    </row>
    <row r="840" spans="5:5" ht="15.75" customHeight="1">
      <c r="E840" s="4"/>
    </row>
    <row r="841" spans="5:5" ht="15.75" customHeight="1">
      <c r="E841" s="4"/>
    </row>
    <row r="842" spans="5:5" ht="15.75" customHeight="1">
      <c r="E842" s="4"/>
    </row>
    <row r="843" spans="5:5" ht="15.75" customHeight="1">
      <c r="E843" s="4"/>
    </row>
    <row r="844" spans="5:5" ht="15.75" customHeight="1">
      <c r="E844" s="4"/>
    </row>
    <row r="845" spans="5:5" ht="15.75" customHeight="1">
      <c r="E845" s="4"/>
    </row>
    <row r="846" spans="5:5" ht="15.75" customHeight="1">
      <c r="E846" s="4"/>
    </row>
    <row r="847" spans="5:5" ht="15.75" customHeight="1">
      <c r="E847" s="4"/>
    </row>
    <row r="848" spans="5:5" ht="15.75" customHeight="1">
      <c r="E848" s="4"/>
    </row>
    <row r="849" spans="5:5" ht="15.75" customHeight="1">
      <c r="E849" s="4"/>
    </row>
    <row r="850" spans="5:5" ht="15.75" customHeight="1">
      <c r="E850" s="4"/>
    </row>
    <row r="851" spans="5:5" ht="15.75" customHeight="1">
      <c r="E851" s="4"/>
    </row>
    <row r="852" spans="5:5" ht="15.75" customHeight="1">
      <c r="E852" s="4"/>
    </row>
    <row r="853" spans="5:5" ht="15.75" customHeight="1">
      <c r="E853" s="4"/>
    </row>
    <row r="854" spans="5:5" ht="15.75" customHeight="1">
      <c r="E854" s="4"/>
    </row>
    <row r="855" spans="5:5" ht="15.75" customHeight="1">
      <c r="E855" s="4"/>
    </row>
    <row r="856" spans="5:5" ht="15.75" customHeight="1">
      <c r="E856" s="4"/>
    </row>
    <row r="857" spans="5:5" ht="15.75" customHeight="1">
      <c r="E857" s="4"/>
    </row>
    <row r="858" spans="5:5" ht="15.75" customHeight="1">
      <c r="E858" s="4"/>
    </row>
    <row r="859" spans="5:5" ht="15.75" customHeight="1">
      <c r="E859" s="4"/>
    </row>
    <row r="860" spans="5:5" ht="15.75" customHeight="1">
      <c r="E860" s="4"/>
    </row>
    <row r="861" spans="5:5" ht="15.75" customHeight="1">
      <c r="E861" s="4"/>
    </row>
    <row r="862" spans="5:5" ht="15.75" customHeight="1">
      <c r="E862" s="4"/>
    </row>
    <row r="863" spans="5:5" ht="15.75" customHeight="1">
      <c r="E863" s="4"/>
    </row>
    <row r="864" spans="5:5" ht="15.75" customHeight="1">
      <c r="E864" s="4"/>
    </row>
    <row r="865" spans="5:5" ht="15.75" customHeight="1">
      <c r="E865" s="4"/>
    </row>
    <row r="866" spans="5:5" ht="15.75" customHeight="1">
      <c r="E866" s="4"/>
    </row>
    <row r="867" spans="5:5" ht="15.75" customHeight="1">
      <c r="E867" s="4"/>
    </row>
    <row r="868" spans="5:5" ht="15.75" customHeight="1">
      <c r="E868" s="4"/>
    </row>
    <row r="869" spans="5:5" ht="15.75" customHeight="1">
      <c r="E869" s="4"/>
    </row>
    <row r="870" spans="5:5" ht="15.75" customHeight="1">
      <c r="E870" s="4"/>
    </row>
    <row r="871" spans="5:5" ht="15.75" customHeight="1">
      <c r="E871" s="4"/>
    </row>
    <row r="872" spans="5:5" ht="15.75" customHeight="1">
      <c r="E872" s="4"/>
    </row>
    <row r="873" spans="5:5" ht="15.75" customHeight="1">
      <c r="E873" s="4"/>
    </row>
    <row r="874" spans="5:5" ht="15.75" customHeight="1">
      <c r="E874" s="4"/>
    </row>
    <row r="875" spans="5:5" ht="15.75" customHeight="1">
      <c r="E875" s="4"/>
    </row>
    <row r="876" spans="5:5" ht="15" customHeight="1">
      <c r="E876" s="4"/>
    </row>
    <row r="877" spans="5:5" ht="15" customHeight="1">
      <c r="E877" s="4"/>
    </row>
    <row r="878" spans="5:5" ht="15" customHeight="1">
      <c r="E878" s="4"/>
    </row>
    <row r="879" spans="5:5" ht="15" customHeight="1">
      <c r="E879" s="4"/>
    </row>
    <row r="880" spans="5:5" ht="15" customHeight="1">
      <c r="E880" s="4"/>
    </row>
    <row r="881" spans="5:5" ht="15" customHeight="1">
      <c r="E881" s="4"/>
    </row>
    <row r="882" spans="5:5" ht="15" customHeight="1">
      <c r="E882" s="4"/>
    </row>
    <row r="883" spans="5:5" ht="15" customHeight="1">
      <c r="E883" s="4"/>
    </row>
    <row r="884" spans="5:5" ht="15" customHeight="1">
      <c r="E884" s="4"/>
    </row>
    <row r="885" spans="5:5" ht="15" customHeight="1">
      <c r="E885" s="4"/>
    </row>
    <row r="886" spans="5:5" ht="15" customHeight="1">
      <c r="E886" s="4"/>
    </row>
    <row r="887" spans="5:5" ht="15" customHeight="1">
      <c r="E887" s="4"/>
    </row>
    <row r="888" spans="5:5" ht="15" customHeight="1">
      <c r="E888" s="4"/>
    </row>
    <row r="889" spans="5:5" ht="15" customHeight="1">
      <c r="E889" s="4"/>
    </row>
    <row r="890" spans="5:5" ht="15" customHeight="1">
      <c r="E890" s="4"/>
    </row>
    <row r="891" spans="5:5" ht="15" customHeight="1">
      <c r="E891" s="4"/>
    </row>
    <row r="892" spans="5:5" ht="15" customHeight="1">
      <c r="E892" s="4"/>
    </row>
    <row r="893" spans="5:5" ht="15" customHeight="1">
      <c r="E893" s="4"/>
    </row>
    <row r="894" spans="5:5" ht="15" customHeight="1">
      <c r="E894" s="4"/>
    </row>
    <row r="895" spans="5:5" ht="15" customHeight="1">
      <c r="E895" s="4"/>
    </row>
    <row r="896" spans="5:5" ht="15" customHeight="1">
      <c r="E896" s="4"/>
    </row>
    <row r="897" spans="5:5" ht="15" customHeight="1">
      <c r="E897" s="4"/>
    </row>
    <row r="898" spans="5:5" ht="15" customHeight="1">
      <c r="E898" s="4"/>
    </row>
    <row r="899" spans="5:5" ht="15" customHeight="1">
      <c r="E899" s="4"/>
    </row>
    <row r="900" spans="5:5" ht="15" customHeight="1">
      <c r="E900" s="4"/>
    </row>
    <row r="901" spans="5:5" ht="15" customHeight="1">
      <c r="E901" s="4"/>
    </row>
    <row r="902" spans="5:5" ht="15" customHeight="1">
      <c r="E902" s="4"/>
    </row>
    <row r="903" spans="5:5" ht="15" customHeight="1">
      <c r="E903" s="4"/>
    </row>
    <row r="904" spans="5:5" ht="15" customHeight="1">
      <c r="E904" s="4"/>
    </row>
    <row r="905" spans="5:5" ht="15" customHeight="1">
      <c r="E905" s="4"/>
    </row>
    <row r="906" spans="5:5" ht="15" customHeight="1">
      <c r="E906" s="4"/>
    </row>
    <row r="907" spans="5:5" ht="15" customHeight="1">
      <c r="E907" s="4"/>
    </row>
    <row r="908" spans="5:5" ht="15" customHeight="1">
      <c r="E908" s="4"/>
    </row>
    <row r="909" spans="5:5" ht="15" customHeight="1">
      <c r="E909" s="4"/>
    </row>
    <row r="910" spans="5:5" ht="15" customHeight="1">
      <c r="E910" s="4"/>
    </row>
    <row r="911" spans="5:5" ht="15" customHeight="1">
      <c r="E911" s="4"/>
    </row>
    <row r="912" spans="5:5" ht="15" customHeight="1">
      <c r="E912" s="4"/>
    </row>
    <row r="913" spans="5:5" ht="15" customHeight="1">
      <c r="E913" s="4"/>
    </row>
    <row r="914" spans="5:5" ht="15" customHeight="1">
      <c r="E914" s="4"/>
    </row>
    <row r="915" spans="5:5" ht="15" customHeight="1">
      <c r="E915" s="4"/>
    </row>
    <row r="916" spans="5:5" ht="15" customHeight="1">
      <c r="E916" s="4"/>
    </row>
    <row r="917" spans="5:5" ht="15" customHeight="1">
      <c r="E917" s="4"/>
    </row>
    <row r="918" spans="5:5" ht="15" customHeight="1">
      <c r="E918" s="4"/>
    </row>
    <row r="919" spans="5:5" ht="15" customHeight="1">
      <c r="E919" s="4"/>
    </row>
    <row r="920" spans="5:5" ht="15" customHeight="1">
      <c r="E920" s="4"/>
    </row>
    <row r="921" spans="5:5" ht="15" customHeight="1">
      <c r="E921" s="4"/>
    </row>
    <row r="922" spans="5:5" ht="15" customHeight="1">
      <c r="E922" s="4"/>
    </row>
    <row r="923" spans="5:5" ht="15" customHeight="1">
      <c r="E923" s="4"/>
    </row>
    <row r="924" spans="5:5" ht="15" customHeight="1">
      <c r="E924" s="4"/>
    </row>
    <row r="925" spans="5:5" ht="15" customHeight="1">
      <c r="E925" s="4"/>
    </row>
    <row r="926" spans="5:5" ht="15" customHeight="1">
      <c r="E926" s="4"/>
    </row>
    <row r="927" spans="5:5" ht="15" customHeight="1">
      <c r="E927" s="4"/>
    </row>
    <row r="928" spans="5:5" ht="15" customHeight="1">
      <c r="E928" s="4"/>
    </row>
    <row r="929" spans="5:5" ht="15" customHeight="1">
      <c r="E929" s="4"/>
    </row>
    <row r="930" spans="5:5" ht="15" customHeight="1">
      <c r="E930" s="4"/>
    </row>
    <row r="931" spans="5:5" ht="15" customHeight="1">
      <c r="E931" s="4"/>
    </row>
    <row r="932" spans="5:5" ht="15" customHeight="1">
      <c r="E932" s="4"/>
    </row>
    <row r="933" spans="5:5" ht="15" customHeight="1">
      <c r="E933" s="4"/>
    </row>
    <row r="934" spans="5:5" ht="15" customHeight="1">
      <c r="E934" s="4"/>
    </row>
    <row r="935" spans="5:5" ht="15" customHeight="1">
      <c r="E935" s="4"/>
    </row>
    <row r="936" spans="5:5" ht="15" customHeight="1">
      <c r="E936" s="4"/>
    </row>
    <row r="937" spans="5:5" ht="15" customHeight="1">
      <c r="E937" s="4"/>
    </row>
    <row r="938" spans="5:5" ht="15" customHeight="1">
      <c r="E938" s="4"/>
    </row>
    <row r="939" spans="5:5" ht="15" customHeight="1">
      <c r="E939" s="4"/>
    </row>
    <row r="940" spans="5:5" ht="15" customHeight="1">
      <c r="E940" s="4"/>
    </row>
    <row r="941" spans="5:5" ht="15" customHeight="1">
      <c r="E941" s="4"/>
    </row>
    <row r="942" spans="5:5" ht="15" customHeight="1">
      <c r="E942" s="4"/>
    </row>
    <row r="943" spans="5:5" ht="15" customHeight="1">
      <c r="E943" s="4"/>
    </row>
    <row r="944" spans="5:5" ht="15" customHeight="1">
      <c r="E944" s="4"/>
    </row>
    <row r="945" spans="5:5" ht="15" customHeight="1">
      <c r="E945" s="4"/>
    </row>
    <row r="946" spans="5:5" ht="15" customHeight="1">
      <c r="E946" s="4"/>
    </row>
    <row r="947" spans="5:5" ht="15" customHeight="1">
      <c r="E947" s="4"/>
    </row>
    <row r="948" spans="5:5" ht="15" customHeight="1">
      <c r="E948" s="4"/>
    </row>
    <row r="949" spans="5:5" ht="15" customHeight="1">
      <c r="E949" s="4"/>
    </row>
    <row r="950" spans="5:5" ht="15" customHeight="1">
      <c r="E950" s="4"/>
    </row>
    <row r="951" spans="5:5" ht="15" customHeight="1">
      <c r="E951" s="4"/>
    </row>
    <row r="952" spans="5:5" ht="15" customHeight="1">
      <c r="E952" s="4"/>
    </row>
    <row r="953" spans="5:5" ht="15" customHeight="1">
      <c r="E953" s="4"/>
    </row>
    <row r="954" spans="5:5" ht="15" customHeight="1">
      <c r="E954" s="4"/>
    </row>
    <row r="955" spans="5:5" ht="15" customHeight="1">
      <c r="E955" s="4"/>
    </row>
    <row r="956" spans="5:5" ht="15" customHeight="1">
      <c r="E956" s="4"/>
    </row>
    <row r="957" spans="5:5" ht="15" customHeight="1">
      <c r="E957" s="4"/>
    </row>
    <row r="958" spans="5:5" ht="15" customHeight="1">
      <c r="E958" s="4"/>
    </row>
    <row r="959" spans="5:5" ht="15" customHeight="1">
      <c r="E959" s="4"/>
    </row>
    <row r="960" spans="5:5" ht="15" customHeight="1">
      <c r="E960" s="4"/>
    </row>
    <row r="961" spans="5:5" ht="15" customHeight="1">
      <c r="E961" s="4"/>
    </row>
    <row r="962" spans="5:5" ht="15" customHeight="1">
      <c r="E962" s="4"/>
    </row>
    <row r="963" spans="5:5" ht="15" customHeight="1">
      <c r="E963" s="4"/>
    </row>
    <row r="964" spans="5:5" ht="15" customHeight="1">
      <c r="E964" s="4"/>
    </row>
    <row r="965" spans="5:5" ht="15" customHeight="1">
      <c r="E965" s="4"/>
    </row>
    <row r="966" spans="5:5" ht="15" customHeight="1">
      <c r="E966" s="4"/>
    </row>
    <row r="967" spans="5:5" ht="15" customHeight="1">
      <c r="E967" s="4"/>
    </row>
  </sheetData>
  <sheetProtection formatCells="0" formatColumns="0" formatRows="0" insertColumns="0" insertRows="0" insertHyperlinks="0" deleteColumns="0" deleteRows="0" pivotTables="0"/>
  <mergeCells count="7">
    <mergeCell ref="B18:B106"/>
    <mergeCell ref="C1:D4"/>
    <mergeCell ref="C5:H5"/>
    <mergeCell ref="B7:B8"/>
    <mergeCell ref="B9:B10"/>
    <mergeCell ref="B11:B14"/>
    <mergeCell ref="B15:B17"/>
  </mergeCells>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44B2EFDE07594087F13BBD24D510C5" ma:contentTypeVersion="15" ma:contentTypeDescription="Crear nuevo documento." ma:contentTypeScope="" ma:versionID="cc5681d0da48ef151ca35805c1addfb0">
  <xsd:schema xmlns:xsd="http://www.w3.org/2001/XMLSchema" xmlns:xs="http://www.w3.org/2001/XMLSchema" xmlns:p="http://schemas.microsoft.com/office/2006/metadata/properties" xmlns:ns2="025f85bd-a8f4-4fe0-9655-8db2073a5b03" xmlns:ns3="b2b4aea4-445a-41d9-b1dd-5e7b8e99830b" targetNamespace="http://schemas.microsoft.com/office/2006/metadata/properties" ma:root="true" ma:fieldsID="cafe6266ff25954a6d2f312115d72fdb" ns2:_="" ns3:_="">
    <xsd:import namespace="025f85bd-a8f4-4fe0-9655-8db2073a5b03"/>
    <xsd:import namespace="b2b4aea4-445a-41d9-b1dd-5e7b8e99830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5f85bd-a8f4-4fe0-9655-8db2073a5b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314b0dbf-2892-414d-907c-457d2205a43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2b4aea4-445a-41d9-b1dd-5e7b8e99830b"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c90bd27d-d68c-4837-be88-2c21748efa6e}" ma:internalName="TaxCatchAll" ma:showField="CatchAllData" ma:web="b2b4aea4-445a-41d9-b1dd-5e7b8e9983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5f85bd-a8f4-4fe0-9655-8db2073a5b03">
      <Terms xmlns="http://schemas.microsoft.com/office/infopath/2007/PartnerControls"/>
    </lcf76f155ced4ddcb4097134ff3c332f>
    <TaxCatchAll xmlns="b2b4aea4-445a-41d9-b1dd-5e7b8e99830b" xsi:nil="true"/>
  </documentManagement>
</p:properties>
</file>

<file path=customXml/itemProps1.xml><?xml version="1.0" encoding="utf-8"?>
<ds:datastoreItem xmlns:ds="http://schemas.openxmlformats.org/officeDocument/2006/customXml" ds:itemID="{33CD6A30-1E8F-450A-837A-B2383143CF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5f85bd-a8f4-4fe0-9655-8db2073a5b03"/>
    <ds:schemaRef ds:uri="b2b4aea4-445a-41d9-b1dd-5e7b8e9983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F865A8-A271-4C10-B8F7-58DBA0A51F08}">
  <ds:schemaRefs>
    <ds:schemaRef ds:uri="http://schemas.microsoft.com/sharepoint/v3/contenttype/forms"/>
  </ds:schemaRefs>
</ds:datastoreItem>
</file>

<file path=customXml/itemProps3.xml><?xml version="1.0" encoding="utf-8"?>
<ds:datastoreItem xmlns:ds="http://schemas.openxmlformats.org/officeDocument/2006/customXml" ds:itemID="{EC416FEB-BBFA-41C7-8CDA-1F8C656784BE}">
  <ds:schemaRefs>
    <ds:schemaRef ds:uri="http://schemas.microsoft.com/office/2006/documentManagement/types"/>
    <ds:schemaRef ds:uri="http://schemas.microsoft.com/office/2006/metadata/properties"/>
    <ds:schemaRef ds:uri="b2b4aea4-445a-41d9-b1dd-5e7b8e99830b"/>
    <ds:schemaRef ds:uri="http://purl.org/dc/elements/1.1/"/>
    <ds:schemaRef ds:uri="http://schemas.microsoft.com/office/infopath/2007/PartnerControls"/>
    <ds:schemaRef ds:uri="http://www.w3.org/XML/1998/namespace"/>
    <ds:schemaRef ds:uri="http://purl.org/dc/dcmitype/"/>
    <ds:schemaRef ds:uri="http://schemas.openxmlformats.org/package/2006/metadata/core-properties"/>
    <ds:schemaRef ds:uri="025f85bd-a8f4-4fe0-9655-8db2073a5b0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Cotización V009</vt:lpstr>
      <vt:lpstr>Tarifas</vt:lpstr>
      <vt:lpstr>Control de cambios</vt:lpstr>
      <vt:lpstr>Tarifas (2)</vt:lpstr>
      <vt:lpstr>'Tarifas (2)'!Acreditado_Obs1</vt:lpstr>
      <vt:lpstr>Acreditado_Obs1</vt:lpstr>
      <vt:lpstr>'Cotización V009'!Área_de_impresión</vt:lpstr>
      <vt:lpstr>Tarifas!Área_de_impresión</vt:lpstr>
      <vt:lpstr>'Tarifas (2)'!No_Acreditado</vt:lpstr>
      <vt:lpstr>No_Acreditado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Ingrid Lorena Galeano Cuenca</cp:lastModifiedBy>
  <cp:revision/>
  <cp:lastPrinted>2025-02-03T20:58:25Z</cp:lastPrinted>
  <dcterms:created xsi:type="dcterms:W3CDTF">2024-04-11T14:32:13Z</dcterms:created>
  <dcterms:modified xsi:type="dcterms:W3CDTF">2026-02-03T16:24:01Z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0x010100C044B2EFDE07594087F13BBD24D510C5</vt:lpwstr>
  </property>
  <property fmtid="{D5CDD505-2E9C-101B-9397-08002B2CF9AE}" pid="3" name="MediaServiceImageTags">
    <vt:lpwstr/>
  </property>
</Properties>
</file>